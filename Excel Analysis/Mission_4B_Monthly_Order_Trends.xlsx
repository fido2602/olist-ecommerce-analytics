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85e37282ad1bd1e2/Desktop/Olist_Flagship_Project/Excel/"/>
    </mc:Choice>
  </mc:AlternateContent>
  <xr:revisionPtr revIDLastSave="193" documentId="8_{DFAA88E8-ABBF-4144-9089-86D49F747B36}" xr6:coauthVersionLast="47" xr6:coauthVersionMax="47" xr10:uidLastSave="{995B5EFA-5EA7-43D0-ABCB-57254B979267}"/>
  <bookViews>
    <workbookView xWindow="-108" yWindow="-108" windowWidth="23256" windowHeight="13896" firstSheet="4" activeTab="4" xr2:uid="{527D0CC0-0A96-47F0-A653-D95F509DF016}"/>
  </bookViews>
  <sheets>
    <sheet name="Mission_4B_Monthly_Order_Trends" sheetId="1" r:id="rId1"/>
    <sheet name="Order Trend Pivots" sheetId="5" r:id="rId2"/>
    <sheet name="Monthly Payment Value" sheetId="2" r:id="rId3"/>
    <sheet name="Payment_Pivots" sheetId="4" r:id="rId4"/>
    <sheet name="Phase 4B Findings" sheetId="3" r:id="rId5"/>
  </sheets>
  <definedNames>
    <definedName name="_xlnm._FilterDatabase" localSheetId="0" hidden="1">Mission_4B_Monthly_Order_Trends!$A$1:$H$26</definedName>
  </definedNames>
  <calcPr calcId="0"/>
  <pivotCaches>
    <pivotCache cacheId="22" r:id="rId6"/>
    <pivotCache cacheId="26" r:id="rId7"/>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E515FD-5D7D-4AF7-9A29-D23932603716}" keepAlive="1" name="Query - Mission_4C 1_Product_Category_Performance (2)" description="Connection to the 'Mission_4C 1_Product_Category_Performance (2)' query in the workbook." type="5" refreshedVersion="0" background="1" saveData="1">
    <dbPr connection="Provider=Microsoft.Mashup.OleDb.1;Data Source=$Workbook$;Location=&quot;Mission_4C 1_Product_Category_Performance (2)&quot;;Extended Properties=&quot;&quot;" command="SELECT * FROM [Mission_4C 1_Product_Category_Performance (2)]"/>
  </connection>
</connections>
</file>

<file path=xl/sharedStrings.xml><?xml version="1.0" encoding="utf-8"?>
<sst xmlns="http://schemas.openxmlformats.org/spreadsheetml/2006/main" count="259" uniqueCount="107">
  <si>
    <t>2016-09</t>
  </si>
  <si>
    <t>\N</t>
  </si>
  <si>
    <t>2016-10</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</si>
  <si>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</si>
  <si>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</si>
  <si>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</si>
  <si>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</si>
  <si>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</si>
  <si>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</si>
  <si>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</si>
  <si>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</si>
  <si>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</si>
  <si>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</si>
  <si>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</si>
  <si>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</si>
  <si>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</si>
  <si>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</si>
  <si>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</si>
  <si>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</si>
  <si>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</si>
  <si>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</si>
  <si>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</si>
  <si>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</si>
  <si>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</si>
  <si>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</si>
  <si>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</si>
  <si>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order_month</t>
  </si>
  <si>
    <t>total_orders</t>
  </si>
  <si>
    <t>delivered_orders</t>
  </si>
  <si>
    <t>cancelled_orders</t>
  </si>
  <si>
    <t>delivered_order_percentage</t>
  </si>
  <si>
    <t>previous_month_orders</t>
  </si>
  <si>
    <t>order_change</t>
  </si>
  <si>
    <t>mom_growth_percentage</t>
  </si>
  <si>
    <t>Mission 4B.1 — Monthly Order Trends: Findings</t>
  </si>
  <si>
    <t>Key Findings</t>
  </si>
  <si>
    <r>
      <t>1. Order volume increased substantially during 2017 and early 2018.</t>
    </r>
    <r>
      <rPr>
        <sz val="11"/>
        <color theme="1"/>
        <rFont val="Aptos Narrow"/>
        <family val="2"/>
        <scheme val="minor"/>
      </rPr>
      <t xml:space="preserve"> Monthly orders rose from 800 in January 2017 to 7,544 in November 2017, the highest monthly total in the observed period.</t>
    </r>
  </si>
  <si>
    <r>
      <t>2. Monthly order volume remained relatively high through August 2018.</t>
    </r>
    <r>
      <rPr>
        <sz val="11"/>
        <color theme="1"/>
        <rFont val="Aptos Narrow"/>
        <family val="2"/>
        <scheme val="minor"/>
      </rPr>
      <t xml:space="preserve"> Orders ranged from 6,167 in June 2018 to 7,269 in January 2018, before falling sharply in September 2018.</t>
    </r>
  </si>
  <si>
    <r>
      <t>3. The largest monthly increase occurred in October 2016.</t>
    </r>
    <r>
      <rPr>
        <sz val="11"/>
        <color theme="1"/>
        <rFont val="Aptos Narrow"/>
        <family val="2"/>
        <scheme val="minor"/>
      </rPr>
      <t xml:space="preserve"> Orders increased from 4 in September to 324 in October. This percentage increase is mathematically correct but should be interpreted cautiously because the September baseline is extremely small.</t>
    </r>
  </si>
  <si>
    <r>
      <t>4. The largest recorded monthly order count was November 2017.</t>
    </r>
    <r>
      <rPr>
        <sz val="11"/>
        <color theme="1"/>
        <rFont val="Aptos Narrow"/>
        <family val="2"/>
        <scheme val="minor"/>
      </rPr>
      <t xml:space="preserve"> The dataset contains 7,544 orders that month, compared with 7,211 in March 2018 and 6,512 in August 2018.</t>
    </r>
  </si>
  <si>
    <r>
      <t>5. The final months require a data-quality caveat.</t>
    </r>
    <r>
      <rPr>
        <sz val="11"/>
        <color theme="1"/>
        <rFont val="Aptos Narrow"/>
        <family val="2"/>
        <scheme val="minor"/>
      </rPr>
      <t xml:space="preserve"> November 2016 has no recorded orders, December 2016 has one, September 2018 has 16, and October 2018 has four through October 17. September 2018's 15 canceled orders and one shipped order account for all 16 records; all four October 2018 orders were canceled.</t>
    </r>
  </si>
  <si>
    <r>
      <t xml:space="preserve">6. Monthly counts were validated against </t>
    </r>
    <r>
      <rPr>
        <b/>
        <sz val="10"/>
        <color theme="1"/>
        <rFont val="Arial Unicode MS"/>
      </rPr>
      <t>orders_model</t>
    </r>
    <r>
      <rPr>
        <b/>
        <sz val="11"/>
        <color theme="1"/>
        <rFont val="Aptos Narrow"/>
        <family val="2"/>
        <scheme val="minor"/>
      </rPr>
      <t>.</t>
    </r>
    <r>
      <rPr>
        <sz val="11"/>
        <color theme="1"/>
        <rFont val="Aptos Narrow"/>
        <family val="2"/>
        <scheme val="minor"/>
      </rPr>
      <t xml:space="preserve"> The exported monthly order counts match the direct SQL aggregation. The raw imported table should also be confirmed as the source of the same counts before concluding that the anomalies originated in the original dataset.</t>
    </r>
  </si>
  <si>
    <t>Business Interpretation</t>
  </si>
  <si>
    <t>The recorded data shows strong order-volume growth through 2017, followed by sustained high monthly volumes through August 2018. However, the unusually low counts in September and October 2018 make end-of-period comparisons unreliable without further investigation. The missing November 2016 records and sparse early-period counts also make some month-over-month growth percentages misleading.</t>
  </si>
  <si>
    <t>Recommended Actions</t>
  </si>
  <si>
    <t>Investigate the missing November 2016 records and the unusually low counts in September and October 2018.</t>
  </si>
  <si>
    <t>Avoid interpreting extreme month-over-month percentage changes when the previous month's order count is very small or zero.</t>
  </si>
  <si>
    <t>Clearly label October 2018 as a partial month.</t>
  </si>
  <si>
    <t>Use monthly order volume alongside recorded payment value, order status, and other business indicators before drawing conclusions about business performance.</t>
  </si>
  <si>
    <t>Limitations</t>
  </si>
  <si>
    <t>This analysis measures recorded orders, not revenue, profit, customer demand independent of cancellations, or business performance causality. The monthly order counts and status totals describe the available dataset and should not be treated as proof of the underlying causes of unusual patterns.</t>
  </si>
  <si>
    <t>eligible_orders</t>
  </si>
  <si>
    <t>total_recorder_payment_value</t>
  </si>
  <si>
    <t>average_payment_value_per_order</t>
  </si>
  <si>
    <t>Row Labels</t>
  </si>
  <si>
    <t>Grand Total</t>
  </si>
  <si>
    <t>Sum of eligible_orders</t>
  </si>
  <si>
    <t>Sum of total_recorder_payment_value</t>
  </si>
  <si>
    <t>Average of average_payment_value_per_order</t>
  </si>
  <si>
    <t>Month</t>
  </si>
  <si>
    <t>Total Recorder Payment Value</t>
  </si>
  <si>
    <t>Average Payment Value Per Order</t>
  </si>
  <si>
    <t>Sum of total_orders</t>
  </si>
  <si>
    <t>Sum of delivered_orders</t>
  </si>
  <si>
    <t>Sum of cancelled_orders</t>
  </si>
  <si>
    <t>Order_Month</t>
  </si>
  <si>
    <t>Total Orders</t>
  </si>
  <si>
    <t>Delivered orders</t>
  </si>
  <si>
    <t>Mission 4B.1</t>
  </si>
  <si>
    <t>Mission4B.2</t>
  </si>
  <si>
    <t>Mission4B.3</t>
  </si>
  <si>
    <t>Mission4B.4</t>
  </si>
  <si>
    <t>Mission4B.5</t>
  </si>
  <si>
    <t>Phase 4B.2 — Monthly Payment Value and Average Order Value (AOV)</t>
  </si>
  <si>
    <t>1. Objective</t>
  </si>
  <si>
    <t>Analyze monthly recorded payment value and average payment value per eligible order to understand payment trends alongside monthly order volume.</t>
  </si>
  <si>
    <t>2. Key Findings</t>
  </si>
  <si>
    <t>Finding 1 — Peak recorded payment value</t>
  </si>
  <si>
    <r>
      <t xml:space="preserve">November 2017 recorded the highest monthly payment value, approximately </t>
    </r>
    <r>
      <rPr>
        <b/>
        <sz val="11"/>
        <color theme="1"/>
        <rFont val="Aptos Narrow"/>
        <family val="2"/>
        <scheme val="minor"/>
      </rPr>
      <t>R$1,187,224.36</t>
    </r>
    <r>
      <rPr>
        <sz val="11"/>
        <color theme="1"/>
        <rFont val="Aptos Narrow"/>
        <family val="2"/>
        <scheme val="minor"/>
      </rPr>
      <t xml:space="preserve">, across 7,507 eligible orders. The average payment value per eligible order was approximately </t>
    </r>
    <r>
      <rPr>
        <b/>
        <sz val="11"/>
        <color theme="1"/>
        <rFont val="Aptos Narrow"/>
        <family val="2"/>
        <scheme val="minor"/>
      </rPr>
      <t>R$158.15</t>
    </r>
    <r>
      <rPr>
        <sz val="11"/>
        <color theme="1"/>
        <rFont val="Aptos Narrow"/>
        <family val="2"/>
        <scheme val="minor"/>
      </rPr>
      <t>.</t>
    </r>
  </si>
  <si>
    <t>Finding 2 — Payment value remained high during early and mid-2018</t>
  </si>
  <si>
    <r>
      <t xml:space="preserve">From January through July 2018, monthly recorded payment value ranged from approximately </t>
    </r>
    <r>
      <rPr>
        <b/>
        <sz val="11"/>
        <color theme="1"/>
        <rFont val="Aptos Narrow"/>
        <family val="2"/>
        <scheme val="minor"/>
      </rPr>
      <t>R$984,790 to R$1,157,336</t>
    </r>
    <r>
      <rPr>
        <sz val="11"/>
        <color theme="1"/>
        <rFont val="Aptos Narrow"/>
        <family val="2"/>
        <scheme val="minor"/>
      </rPr>
      <t>. Payment value remained substantial during this period, although monthly totals varied.</t>
    </r>
  </si>
  <si>
    <t>Finding 3 — Monthly payment value reflects both order volume and average order value</t>
  </si>
  <si>
    <t>Monthly payment totals should be interpreted alongside eligible-order counts and average payment value per order. A higher monthly total does not necessarily mean that customers spent more per order.</t>
  </si>
  <si>
    <t>Finding 4 — Early-period averages require caution</t>
  </si>
  <si>
    <t>Months with very few eligible orders can produce unstable or unrepresentative average values. September 2016 had one eligible order, while September 2018 also had one eligible order with a recorded payment value of R$166.46. These observations should not be treated as reliable indicators of typical monthly customer spending.</t>
  </si>
  <si>
    <t>Finding 5 — The final period requires investigation</t>
  </si>
  <si>
    <t>September 2018 had only one eligible order in this payment analysis, despite 16 recorded orders in the order-trend analysis. October 2018 does not appear in the payment output. These differences warrant investigation of order statuses, payment availability, and the reporting-period cutoff before drawing conclusions.</t>
  </si>
  <si>
    <t>3. Business Interpretation</t>
  </si>
  <si>
    <t>Recorded payment value provides a useful measure of payment activity, while average payment value per eligible order provides context about the amount associated with each eligible order. Considered together with order volume, these measures help distinguish changes in transaction activity from changes in average order value.</t>
  </si>
  <si>
    <t>The sharp reduction in eligible orders in September 2018 and the absence of October 2018 from the payment output limit interpretation of the end of the reporting period.</t>
  </si>
  <si>
    <t>4. Recommended Actions</t>
  </si>
  <si>
    <t>1. Investigate the unusually low number of eligible orders in September 2018 and determine why October 2018 is absent from the payment output.</t>
  </si>
  <si>
    <t>2. Monitor monthly payment value, eligible-order count, and average payment value per eligible order together.</t>
  </si>
  <si>
    <t>3. Treat monthly averages based on very small order counts as low-confidence observations.</t>
  </si>
  <si>
    <t>4. Validate payment coverage and order-status exclusions before using the results for operational or financial decisions.</t>
  </si>
  <si>
    <t>5. For future reporting, compare payment trends with delivered orders, cancellation patterns, and customer or product segments where appropriate.</t>
  </si>
  <si>
    <t>5. Methodology and Limitations</t>
  </si>
  <si>
    <r>
      <t xml:space="preserve">Payment values were aggregated by </t>
    </r>
    <r>
      <rPr>
        <sz val="10"/>
        <color theme="1"/>
        <rFont val="Arial Unicode MS"/>
      </rPr>
      <t>order_id</t>
    </r>
    <r>
      <rPr>
        <sz val="11"/>
        <color theme="1"/>
        <rFont val="Aptos Narrow"/>
        <family val="2"/>
        <scheme val="minor"/>
      </rPr>
      <t xml:space="preserve"> before monthly analysis to avoid treating multiple payment records for one order as separate orders.</t>
    </r>
  </si>
  <si>
    <r>
      <t xml:space="preserve">Orders with </t>
    </r>
    <r>
      <rPr>
        <sz val="10"/>
        <color theme="1"/>
        <rFont val="Arial Unicode MS"/>
      </rPr>
      <t>order_status = 'canceled'</t>
    </r>
    <r>
      <rPr>
        <sz val="11"/>
        <color theme="1"/>
        <rFont val="Aptos Narrow"/>
        <family val="2"/>
        <scheme val="minor"/>
      </rPr>
      <t xml:space="preserve"> were excluded.</t>
    </r>
  </si>
  <si>
    <t>Orders without a matching payment record were excluded through the inner join.</t>
  </si>
  <si>
    <t>Eligible orders are not necessarily delivered orders.</t>
  </si>
  <si>
    <t>Payment values are recorded in Brazilian reais (BRL).</t>
  </si>
  <si>
    <t>Recorded payment value is not equivalent to profit, margin, or necessarily recognized accounting revenue.</t>
  </si>
  <si>
    <t>Monthly totals are affected by eligible-order volume, payment coverage, order status, and the reporting period.</t>
  </si>
  <si>
    <t>The observed trends do not establish the causes of changes in payment activity.</t>
  </si>
  <si>
    <t>6. Conclusion</t>
  </si>
  <si>
    <t>November 2017 was the peak month for recorded payment value in the analyzed period. Monthly payment totals remained high through much of 2018, but the final months contain substantial coverage or period irregularities that require investigation. Payment value and average order value should be interpreted together with eligible-order counts and the documented methodological limitations.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</si>
</sst>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R$-416]\ #,##0.00"/>
  </numFmts>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8"/>
      <color theme="1"/>
      <name val="Aptos Narrow"/>
      <family val="2"/>
      <scheme val="minor"/>
    </font>
    <font>
      <b/>
      <sz val="13.5"/>
      <color theme="1"/>
      <name val="Aptos Narrow"/>
      <family val="2"/>
      <scheme val="minor"/>
    </font>
    <font>
      <b/>
      <sz val="10"/>
      <color theme="1"/>
      <name val="Arial Unicode MS"/>
    </font>
    <font>
      <b/>
      <sz val="24"/>
      <color theme="1"/>
      <name val="Aptos Narrow"/>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0" xfId="0" applyFont="1" applyAlignment="1">
      <alignment vertical="center"/>
    </xf>
    <xf numFmtId="0" fontId="19"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49"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166" fontId="0" fillId="0" borderId="0" xfId="0" applyNumberFormat="1"/>
    <xf numFmtId="0" fontId="16" fillId="0" borderId="0" xfId="0" applyFont="1"/>
    <xf numFmtId="0" fontId="21"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66" formatCode="[$R$-416]\ #,##0.00"/>
    </dxf>
    <dxf>
      <numFmt numFmtId="166" formatCode="[$R$-416]\ #,##0.00"/>
    </dxf>
    <dxf>
      <numFmt numFmtId="0" formatCode="General"/>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Order Volume: Total vs. Delivered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'Order Trend Pivots'!$G$3</c:f>
              <c:strCache>
                <c:ptCount val="1"/>
                <c:pt idx="0">
                  <c:v>Total Orders</c:v>
                </c:pt>
              </c:strCache>
            </c:strRef>
          </c:tx>
          <c:spPr>
            <a:solidFill>
              <a:schemeClr val="accent1"/>
            </a:solidFill>
            <a:ln>
              <a:noFill/>
            </a:ln>
            <a:effectLst/>
          </c:spPr>
          <c:invertIfNegative val="0"/>
          <c:cat>
            <c:strRef>
              <c:f>'Order Trend Pivots'!$F$4:$F$28</c:f>
              <c:strCache>
                <c:ptCount val="25"/>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pt idx="23">
                  <c:v>2018-09</c:v>
                </c:pt>
                <c:pt idx="24">
                  <c:v>2018-10</c:v>
                </c:pt>
              </c:strCache>
            </c:strRef>
          </c:cat>
          <c:val>
            <c:numRef>
              <c:f>'Order Trend Pivots'!$G$4:$G$28</c:f>
              <c:numCache>
                <c:formatCode>General</c:formatCode>
                <c:ptCount val="25"/>
                <c:pt idx="0">
                  <c:v>4</c:v>
                </c:pt>
                <c:pt idx="1">
                  <c:v>324</c:v>
                </c:pt>
                <c:pt idx="2">
                  <c:v>1</c:v>
                </c:pt>
                <c:pt idx="3">
                  <c:v>800</c:v>
                </c:pt>
                <c:pt idx="4">
                  <c:v>1780</c:v>
                </c:pt>
                <c:pt idx="5">
                  <c:v>2682</c:v>
                </c:pt>
                <c:pt idx="6">
                  <c:v>2404</c:v>
                </c:pt>
                <c:pt idx="7">
                  <c:v>3700</c:v>
                </c:pt>
                <c:pt idx="8">
                  <c:v>3245</c:v>
                </c:pt>
                <c:pt idx="9">
                  <c:v>4026</c:v>
                </c:pt>
                <c:pt idx="10">
                  <c:v>4331</c:v>
                </c:pt>
                <c:pt idx="11">
                  <c:v>4285</c:v>
                </c:pt>
                <c:pt idx="12">
                  <c:v>4631</c:v>
                </c:pt>
                <c:pt idx="13">
                  <c:v>7544</c:v>
                </c:pt>
                <c:pt idx="14">
                  <c:v>5673</c:v>
                </c:pt>
                <c:pt idx="15">
                  <c:v>7269</c:v>
                </c:pt>
                <c:pt idx="16">
                  <c:v>6728</c:v>
                </c:pt>
                <c:pt idx="17">
                  <c:v>7211</c:v>
                </c:pt>
                <c:pt idx="18">
                  <c:v>6939</c:v>
                </c:pt>
                <c:pt idx="19">
                  <c:v>6873</c:v>
                </c:pt>
                <c:pt idx="20">
                  <c:v>6167</c:v>
                </c:pt>
                <c:pt idx="21">
                  <c:v>6292</c:v>
                </c:pt>
                <c:pt idx="22">
                  <c:v>6512</c:v>
                </c:pt>
                <c:pt idx="23">
                  <c:v>16</c:v>
                </c:pt>
                <c:pt idx="24">
                  <c:v>4</c:v>
                </c:pt>
              </c:numCache>
            </c:numRef>
          </c:val>
          <c:extLst>
            <c:ext xmlns:c16="http://schemas.microsoft.com/office/drawing/2014/chart" uri="{C3380CC4-5D6E-409C-BE32-E72D297353CC}">
              <c16:uniqueId val="{00000000-630C-4C65-B5E0-B20B99D1D772}"/>
            </c:ext>
          </c:extLst>
        </c:ser>
        <c:dLbls>
          <c:showLegendKey val="0"/>
          <c:showVal val="0"/>
          <c:showCatName val="0"/>
          <c:showSerName val="0"/>
          <c:showPercent val="0"/>
          <c:showBubbleSize val="0"/>
        </c:dLbls>
        <c:gapWidth val="219"/>
        <c:axId val="1215389855"/>
        <c:axId val="1215390815"/>
      </c:barChart>
      <c:lineChart>
        <c:grouping val="standard"/>
        <c:varyColors val="0"/>
        <c:ser>
          <c:idx val="1"/>
          <c:order val="1"/>
          <c:tx>
            <c:strRef>
              <c:f>'Order Trend Pivots'!$H$3</c:f>
              <c:strCache>
                <c:ptCount val="1"/>
                <c:pt idx="0">
                  <c:v>Delivered orders</c:v>
                </c:pt>
              </c:strCache>
            </c:strRef>
          </c:tx>
          <c:spPr>
            <a:ln w="28575" cap="rnd">
              <a:solidFill>
                <a:schemeClr val="accent2"/>
              </a:solidFill>
              <a:round/>
            </a:ln>
            <a:effectLst/>
          </c:spPr>
          <c:marker>
            <c:symbol val="none"/>
          </c:marker>
          <c:cat>
            <c:strRef>
              <c:f>'Order Trend Pivots'!$F$4:$F$28</c:f>
              <c:strCache>
                <c:ptCount val="25"/>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pt idx="23">
                  <c:v>2018-09</c:v>
                </c:pt>
                <c:pt idx="24">
                  <c:v>2018-10</c:v>
                </c:pt>
              </c:strCache>
            </c:strRef>
          </c:cat>
          <c:val>
            <c:numRef>
              <c:f>'Order Trend Pivots'!$H$4:$H$28</c:f>
              <c:numCache>
                <c:formatCode>General</c:formatCode>
                <c:ptCount val="25"/>
                <c:pt idx="0">
                  <c:v>1</c:v>
                </c:pt>
                <c:pt idx="1">
                  <c:v>265</c:v>
                </c:pt>
                <c:pt idx="2">
                  <c:v>1</c:v>
                </c:pt>
                <c:pt idx="3">
                  <c:v>750</c:v>
                </c:pt>
                <c:pt idx="4">
                  <c:v>1653</c:v>
                </c:pt>
                <c:pt idx="5">
                  <c:v>2546</c:v>
                </c:pt>
                <c:pt idx="6">
                  <c:v>2303</c:v>
                </c:pt>
                <c:pt idx="7">
                  <c:v>3546</c:v>
                </c:pt>
                <c:pt idx="8">
                  <c:v>3135</c:v>
                </c:pt>
                <c:pt idx="9">
                  <c:v>3872</c:v>
                </c:pt>
                <c:pt idx="10">
                  <c:v>4193</c:v>
                </c:pt>
                <c:pt idx="11">
                  <c:v>4150</c:v>
                </c:pt>
                <c:pt idx="12">
                  <c:v>4478</c:v>
                </c:pt>
                <c:pt idx="13">
                  <c:v>7289</c:v>
                </c:pt>
                <c:pt idx="14">
                  <c:v>5513</c:v>
                </c:pt>
                <c:pt idx="15">
                  <c:v>7069</c:v>
                </c:pt>
                <c:pt idx="16">
                  <c:v>6555</c:v>
                </c:pt>
                <c:pt idx="17">
                  <c:v>7003</c:v>
                </c:pt>
                <c:pt idx="18">
                  <c:v>6798</c:v>
                </c:pt>
                <c:pt idx="19">
                  <c:v>6749</c:v>
                </c:pt>
                <c:pt idx="20">
                  <c:v>6099</c:v>
                </c:pt>
                <c:pt idx="21">
                  <c:v>6159</c:v>
                </c:pt>
                <c:pt idx="22">
                  <c:v>6351</c:v>
                </c:pt>
                <c:pt idx="23">
                  <c:v>0</c:v>
                </c:pt>
                <c:pt idx="24">
                  <c:v>0</c:v>
                </c:pt>
              </c:numCache>
            </c:numRef>
          </c:val>
          <c:smooth val="0"/>
          <c:extLst>
            <c:ext xmlns:c16="http://schemas.microsoft.com/office/drawing/2014/chart" uri="{C3380CC4-5D6E-409C-BE32-E72D297353CC}">
              <c16:uniqueId val="{00000001-630C-4C65-B5E0-B20B99D1D772}"/>
            </c:ext>
          </c:extLst>
        </c:ser>
        <c:dLbls>
          <c:showLegendKey val="0"/>
          <c:showVal val="0"/>
          <c:showCatName val="0"/>
          <c:showSerName val="0"/>
          <c:showPercent val="0"/>
          <c:showBubbleSize val="0"/>
        </c:dLbls>
        <c:marker val="1"/>
        <c:smooth val="0"/>
        <c:axId val="1215389855"/>
        <c:axId val="1215390815"/>
      </c:lineChart>
      <c:catAx>
        <c:axId val="12153898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Month</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390815"/>
        <c:crosses val="autoZero"/>
        <c:auto val="1"/>
        <c:lblAlgn val="ctr"/>
        <c:lblOffset val="100"/>
        <c:noMultiLvlLbl val="0"/>
      </c:catAx>
      <c:valAx>
        <c:axId val="121539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Orders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389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Recorded Payment Value (BRL)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Payment_Pivots!$H$3</c:f>
              <c:strCache>
                <c:ptCount val="1"/>
                <c:pt idx="0">
                  <c:v>Total Recorder Payment Value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Payment_Pivots!$G$4:$G$27</c:f>
              <c:strCache>
                <c:ptCount val="24"/>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pt idx="23">
                  <c:v>2018-09</c:v>
                </c:pt>
              </c:strCache>
            </c:strRef>
          </c:cat>
          <c:val>
            <c:numRef>
              <c:f>Payment_Pivots!$H$4:$H$27</c:f>
              <c:numCache>
                <c:formatCode>General</c:formatCode>
                <c:ptCount val="24"/>
                <c:pt idx="0" formatCode="[$R$-416]\ #,##0.00">
                  <c:v>136.22999999999999</c:v>
                </c:pt>
                <c:pt idx="1">
                  <c:v>53915.5</c:v>
                </c:pt>
                <c:pt idx="2">
                  <c:v>19.62</c:v>
                </c:pt>
                <c:pt idx="3">
                  <c:v>138119.76</c:v>
                </c:pt>
                <c:pt idx="4">
                  <c:v>289081.01</c:v>
                </c:pt>
                <c:pt idx="5">
                  <c:v>442406.37</c:v>
                </c:pt>
                <c:pt idx="6">
                  <c:v>409846.01</c:v>
                </c:pt>
                <c:pt idx="7">
                  <c:v>588529.96</c:v>
                </c:pt>
                <c:pt idx="8">
                  <c:v>507302.62</c:v>
                </c:pt>
                <c:pt idx="9">
                  <c:v>585331.36</c:v>
                </c:pt>
                <c:pt idx="10">
                  <c:v>667224.47</c:v>
                </c:pt>
                <c:pt idx="11">
                  <c:v>723781.27</c:v>
                </c:pt>
                <c:pt idx="12">
                  <c:v>773104.35</c:v>
                </c:pt>
                <c:pt idx="13">
                  <c:v>1187224.3600000001</c:v>
                </c:pt>
                <c:pt idx="14">
                  <c:v>874962.23</c:v>
                </c:pt>
                <c:pt idx="15">
                  <c:v>1109464</c:v>
                </c:pt>
                <c:pt idx="16">
                  <c:v>984790.19</c:v>
                </c:pt>
                <c:pt idx="17">
                  <c:v>1156243.76</c:v>
                </c:pt>
                <c:pt idx="18">
                  <c:v>1157336.33</c:v>
                </c:pt>
                <c:pt idx="19">
                  <c:v>1149483.77</c:v>
                </c:pt>
                <c:pt idx="20">
                  <c:v>1021220.02</c:v>
                </c:pt>
                <c:pt idx="21">
                  <c:v>1047422.72</c:v>
                </c:pt>
                <c:pt idx="22">
                  <c:v>998504.15</c:v>
                </c:pt>
                <c:pt idx="23">
                  <c:v>166.46</c:v>
                </c:pt>
              </c:numCache>
            </c:numRef>
          </c:val>
          <c:smooth val="0"/>
          <c:extLst>
            <c:ext xmlns:c16="http://schemas.microsoft.com/office/drawing/2014/chart" uri="{C3380CC4-5D6E-409C-BE32-E72D297353CC}">
              <c16:uniqueId val="{00000000-C6F6-4D50-ACE6-2838B0D7A32D}"/>
            </c:ext>
          </c:extLst>
        </c:ser>
        <c:dLbls>
          <c:showLegendKey val="0"/>
          <c:showVal val="0"/>
          <c:showCatName val="0"/>
          <c:showSerName val="0"/>
          <c:showPercent val="0"/>
          <c:showBubbleSize val="0"/>
        </c:dLbls>
        <c:marker val="1"/>
        <c:smooth val="0"/>
        <c:axId val="1284745375"/>
        <c:axId val="1284749215"/>
      </c:lineChart>
      <c:catAx>
        <c:axId val="12847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49215"/>
        <c:crosses val="autoZero"/>
        <c:auto val="1"/>
        <c:lblAlgn val="ctr"/>
        <c:lblOffset val="100"/>
        <c:noMultiLvlLbl val="0"/>
      </c:catAx>
      <c:valAx>
        <c:axId val="1284749215"/>
        <c:scaling>
          <c:orientation val="minMax"/>
        </c:scaling>
        <c:delete val="0"/>
        <c:axPos val="l"/>
        <c:majorGridlines>
          <c:spPr>
            <a:ln w="9525" cap="flat" cmpd="sng" algn="ctr">
              <a:solidFill>
                <a:schemeClr val="tx1">
                  <a:lumMod val="15000"/>
                  <a:lumOff val="85000"/>
                </a:schemeClr>
              </a:solidFill>
              <a:round/>
            </a:ln>
            <a:effectLst/>
          </c:spPr>
        </c:majorGridlines>
        <c:numFmt formatCode="[$R$-416]\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4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Average Payment Value per Eligible Order (BRL)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Payment_Pivots!$H$30</c:f>
              <c:strCache>
                <c:ptCount val="1"/>
                <c:pt idx="0">
                  <c:v>Average Payment Value Per Order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Payment_Pivots!$G$31:$G$54</c:f>
              <c:strCache>
                <c:ptCount val="24"/>
                <c:pt idx="0">
                  <c:v>2016-09</c:v>
                </c:pt>
                <c:pt idx="1">
                  <c:v>2016-10</c:v>
                </c:pt>
                <c:pt idx="2">
                  <c:v>2016-12</c:v>
                </c:pt>
                <c:pt idx="3">
                  <c:v>2017-01</c:v>
                </c:pt>
                <c:pt idx="4">
                  <c:v>2017-02</c:v>
                </c:pt>
                <c:pt idx="5">
                  <c:v>2017-03</c:v>
                </c:pt>
                <c:pt idx="6">
                  <c:v>2017-04</c:v>
                </c:pt>
                <c:pt idx="7">
                  <c:v>2017-05</c:v>
                </c:pt>
                <c:pt idx="8">
                  <c:v>2017-06</c:v>
                </c:pt>
                <c:pt idx="9">
                  <c:v>2017-07</c:v>
                </c:pt>
                <c:pt idx="10">
                  <c:v>2017-08</c:v>
                </c:pt>
                <c:pt idx="11">
                  <c:v>2017-09</c:v>
                </c:pt>
                <c:pt idx="12">
                  <c:v>2017-10</c:v>
                </c:pt>
                <c:pt idx="13">
                  <c:v>2017-11</c:v>
                </c:pt>
                <c:pt idx="14">
                  <c:v>2017-12</c:v>
                </c:pt>
                <c:pt idx="15">
                  <c:v>2018-01</c:v>
                </c:pt>
                <c:pt idx="16">
                  <c:v>2018-02</c:v>
                </c:pt>
                <c:pt idx="17">
                  <c:v>2018-03</c:v>
                </c:pt>
                <c:pt idx="18">
                  <c:v>2018-04</c:v>
                </c:pt>
                <c:pt idx="19">
                  <c:v>2018-05</c:v>
                </c:pt>
                <c:pt idx="20">
                  <c:v>2018-06</c:v>
                </c:pt>
                <c:pt idx="21">
                  <c:v>2018-07</c:v>
                </c:pt>
                <c:pt idx="22">
                  <c:v>2018-08</c:v>
                </c:pt>
                <c:pt idx="23">
                  <c:v>2018-09</c:v>
                </c:pt>
              </c:strCache>
            </c:strRef>
          </c:cat>
          <c:val>
            <c:numRef>
              <c:f>Payment_Pivots!$H$31:$H$54</c:f>
              <c:numCache>
                <c:formatCode>General</c:formatCode>
                <c:ptCount val="24"/>
                <c:pt idx="0" formatCode="[$R$-416]\ #,##0.00">
                  <c:v>136.22999999999999</c:v>
                </c:pt>
                <c:pt idx="1">
                  <c:v>179.72</c:v>
                </c:pt>
                <c:pt idx="2">
                  <c:v>19.62</c:v>
                </c:pt>
                <c:pt idx="3">
                  <c:v>173.3</c:v>
                </c:pt>
                <c:pt idx="4">
                  <c:v>163.97</c:v>
                </c:pt>
                <c:pt idx="5">
                  <c:v>167.01</c:v>
                </c:pt>
                <c:pt idx="6">
                  <c:v>171.77</c:v>
                </c:pt>
                <c:pt idx="7">
                  <c:v>160.32</c:v>
                </c:pt>
                <c:pt idx="8">
                  <c:v>157.11000000000001</c:v>
                </c:pt>
                <c:pt idx="9">
                  <c:v>146.41</c:v>
                </c:pt>
                <c:pt idx="10">
                  <c:v>155.02000000000001</c:v>
                </c:pt>
                <c:pt idx="11">
                  <c:v>169.7</c:v>
                </c:pt>
                <c:pt idx="12">
                  <c:v>167.88</c:v>
                </c:pt>
                <c:pt idx="13">
                  <c:v>158.15</c:v>
                </c:pt>
                <c:pt idx="14">
                  <c:v>154.53</c:v>
                </c:pt>
                <c:pt idx="15">
                  <c:v>153.35</c:v>
                </c:pt>
                <c:pt idx="16">
                  <c:v>147.97999999999999</c:v>
                </c:pt>
                <c:pt idx="17">
                  <c:v>160.91999999999999</c:v>
                </c:pt>
                <c:pt idx="18">
                  <c:v>167.15</c:v>
                </c:pt>
                <c:pt idx="19">
                  <c:v>167.83</c:v>
                </c:pt>
                <c:pt idx="20">
                  <c:v>166.08</c:v>
                </c:pt>
                <c:pt idx="21">
                  <c:v>167.56</c:v>
                </c:pt>
                <c:pt idx="22">
                  <c:v>155.34</c:v>
                </c:pt>
                <c:pt idx="23">
                  <c:v>166.46</c:v>
                </c:pt>
              </c:numCache>
            </c:numRef>
          </c:val>
          <c:smooth val="0"/>
          <c:extLst>
            <c:ext xmlns:c16="http://schemas.microsoft.com/office/drawing/2014/chart" uri="{C3380CC4-5D6E-409C-BE32-E72D297353CC}">
              <c16:uniqueId val="{00000000-D43B-4D64-B774-7401A5741279}"/>
            </c:ext>
          </c:extLst>
        </c:ser>
        <c:dLbls>
          <c:showLegendKey val="0"/>
          <c:showVal val="0"/>
          <c:showCatName val="0"/>
          <c:showSerName val="0"/>
          <c:showPercent val="0"/>
          <c:showBubbleSize val="0"/>
        </c:dLbls>
        <c:marker val="1"/>
        <c:smooth val="0"/>
        <c:axId val="1276990991"/>
        <c:axId val="1276993871"/>
      </c:lineChart>
      <c:catAx>
        <c:axId val="1276990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93871"/>
        <c:crosses val="autoZero"/>
        <c:auto val="1"/>
        <c:lblAlgn val="ctr"/>
        <c:lblOffset val="100"/>
        <c:noMultiLvlLbl val="0"/>
      </c:catAx>
      <c:valAx>
        <c:axId val="1276993871"/>
        <c:scaling>
          <c:orientation val="minMax"/>
        </c:scaling>
        <c:delete val="0"/>
        <c:axPos val="l"/>
        <c:majorGridlines>
          <c:spPr>
            <a:ln w="9525" cap="flat" cmpd="sng" algn="ctr">
              <a:solidFill>
                <a:schemeClr val="tx1">
                  <a:lumMod val="15000"/>
                  <a:lumOff val="85000"/>
                </a:schemeClr>
              </a:solidFill>
              <a:round/>
            </a:ln>
            <a:effectLst/>
          </c:spPr>
        </c:majorGridlines>
        <c:numFmt formatCode="[$R$-416]\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699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22860</xdr:colOff>
      <xdr:row>35</xdr:row>
      <xdr:rowOff>49530</xdr:rowOff>
    </xdr:from>
    <xdr:to>
      <xdr:col>3</xdr:col>
      <xdr:colOff>1097280</xdr:colOff>
      <xdr:row>50</xdr:row>
      <xdr:rowOff>49530</xdr:rowOff>
    </xdr:to>
    <xdr:graphicFrame macro="">
      <xdr:nvGraphicFramePr>
        <xdr:cNvPr id="2" name="Chart 1">
          <a:extLst>
            <a:ext uri="{FF2B5EF4-FFF2-40B4-BE49-F238E27FC236}">
              <a16:creationId xmlns:a16="http://schemas.microsoft.com/office/drawing/2014/main" id="{618739B2-B19C-B40B-7408-CEC3E6328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32</xdr:row>
      <xdr:rowOff>133350</xdr:rowOff>
    </xdr:from>
    <xdr:to>
      <xdr:col>3</xdr:col>
      <xdr:colOff>137160</xdr:colOff>
      <xdr:row>47</xdr:row>
      <xdr:rowOff>133350</xdr:rowOff>
    </xdr:to>
    <xdr:graphicFrame macro="">
      <xdr:nvGraphicFramePr>
        <xdr:cNvPr id="4" name="Chart 3">
          <a:extLst>
            <a:ext uri="{FF2B5EF4-FFF2-40B4-BE49-F238E27FC236}">
              <a16:creationId xmlns:a16="http://schemas.microsoft.com/office/drawing/2014/main" id="{3BC5989D-5778-7E68-E1BE-6007B5285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50</xdr:row>
      <xdr:rowOff>163830</xdr:rowOff>
    </xdr:from>
    <xdr:to>
      <xdr:col>3</xdr:col>
      <xdr:colOff>144780</xdr:colOff>
      <xdr:row>65</xdr:row>
      <xdr:rowOff>163830</xdr:rowOff>
    </xdr:to>
    <xdr:graphicFrame macro="">
      <xdr:nvGraphicFramePr>
        <xdr:cNvPr id="5" name="Chart 4">
          <a:extLst>
            <a:ext uri="{FF2B5EF4-FFF2-40B4-BE49-F238E27FC236}">
              <a16:creationId xmlns:a16="http://schemas.microsoft.com/office/drawing/2014/main" id="{A9F7FAED-92B8-E155-38B9-E90421A65E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ttal" refreshedDate="46316.712759027774" createdVersion="8" refreshedVersion="8" minRefreshableVersion="3" recordCount="24" xr:uid="{9235A1A5-98E1-456F-8F0A-CEEC905FB266}">
  <cacheSource type="worksheet">
    <worksheetSource name="Table1"/>
  </cacheSource>
  <cacheFields count="4">
    <cacheField name="order_month" numFmtId="0">
      <sharedItems count="24">
        <s v="2016-09"/>
        <s v="2016-10"/>
        <s v="2016-12"/>
        <s v="2017-01"/>
        <s v="2017-02"/>
        <s v="2017-03"/>
        <s v="2017-04"/>
        <s v="2017-05"/>
        <s v="2017-06"/>
        <s v="2017-07"/>
        <s v="2017-08"/>
        <s v="2017-09"/>
        <s v="2017-10"/>
        <s v="2017-11"/>
        <s v="2017-12"/>
        <s v="2018-01"/>
        <s v="2018-02"/>
        <s v="2018-03"/>
        <s v="2018-04"/>
        <s v="2018-05"/>
        <s v="2018-06"/>
        <s v="2018-07"/>
        <s v="2018-08"/>
        <s v="2018-09"/>
      </sharedItems>
    </cacheField>
    <cacheField name="eligible_orders" numFmtId="0">
      <sharedItems containsSemiMixedTypes="0" containsString="0" containsNumber="1" containsInteger="1" minValue="1" maxValue="7507"/>
    </cacheField>
    <cacheField name="total_recorder_payment_value" numFmtId="0">
      <sharedItems containsSemiMixedTypes="0" containsString="0" containsNumber="1" minValue="19.62" maxValue="1187224.3600000001"/>
    </cacheField>
    <cacheField name="average_payment_value_per_order" numFmtId="0">
      <sharedItems containsSemiMixedTypes="0" containsString="0" containsNumber="1" minValue="19.62" maxValue="179.7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ya mittal" refreshedDate="46316.73062858796" createdVersion="8" refreshedVersion="8" minRefreshableVersion="3" recordCount="25" xr:uid="{29550872-1870-4CAF-AEBD-B4F0991FA9FF}">
  <cacheSource type="worksheet">
    <worksheetSource ref="A1:H26" sheet="Mission_4B_Monthly_Order_Trends"/>
  </cacheSource>
  <cacheFields count="8">
    <cacheField name="order_month" numFmtId="0">
      <sharedItems count="25">
        <s v="2016-09"/>
        <s v="2016-10"/>
        <s v="2016-12"/>
        <s v="2017-01"/>
        <s v="2017-02"/>
        <s v="2017-03"/>
        <s v="2017-04"/>
        <s v="2017-05"/>
        <s v="2017-06"/>
        <s v="2017-07"/>
        <s v="2017-08"/>
        <s v="2017-09"/>
        <s v="2017-10"/>
        <s v="2017-11"/>
        <s v="2017-12"/>
        <s v="2018-01"/>
        <s v="2018-02"/>
        <s v="2018-03"/>
        <s v="2018-04"/>
        <s v="2018-05"/>
        <s v="2018-06"/>
        <s v="2018-07"/>
        <s v="2018-08"/>
        <s v="2018-09"/>
        <s v="2018-10"/>
      </sharedItems>
    </cacheField>
    <cacheField name="total_orders" numFmtId="0">
      <sharedItems containsSemiMixedTypes="0" containsString="0" containsNumber="1" containsInteger="1" minValue="1" maxValue="7544"/>
    </cacheField>
    <cacheField name="delivered_orders" numFmtId="0">
      <sharedItems containsSemiMixedTypes="0" containsString="0" containsNumber="1" containsInteger="1" minValue="0" maxValue="7289"/>
    </cacheField>
    <cacheField name="cancelled_orders" numFmtId="0">
      <sharedItems containsSemiMixedTypes="0" containsString="0" containsNumber="1" containsInteger="1" minValue="0" maxValue="84"/>
    </cacheField>
    <cacheField name="delivered_order_percentage" numFmtId="0">
      <sharedItems containsSemiMixedTypes="0" containsString="0" containsNumber="1" minValue="0" maxValue="100"/>
    </cacheField>
    <cacheField name="previous_month_orders" numFmtId="0">
      <sharedItems containsMixedTypes="1" containsNumber="1" containsInteger="1" minValue="1" maxValue="7544"/>
    </cacheField>
    <cacheField name="order_change" numFmtId="0">
      <sharedItems containsMixedTypes="1" containsNumber="1" containsInteger="1" minValue="-6496" maxValue="2913"/>
    </cacheField>
    <cacheField name="mom_growth_percentage" numFmtId="0">
      <sharedItems containsMixedTypes="1" containsNumber="1" minValue="-99.75" maxValue="799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n v="1"/>
    <n v="136.22999999999999"/>
    <n v="136.22999999999999"/>
  </r>
  <r>
    <x v="1"/>
    <n v="300"/>
    <n v="53915.5"/>
    <n v="179.72"/>
  </r>
  <r>
    <x v="2"/>
    <n v="1"/>
    <n v="19.62"/>
    <n v="19.62"/>
  </r>
  <r>
    <x v="3"/>
    <n v="797"/>
    <n v="138119.76"/>
    <n v="173.3"/>
  </r>
  <r>
    <x v="4"/>
    <n v="1763"/>
    <n v="289081.01"/>
    <n v="163.97"/>
  </r>
  <r>
    <x v="5"/>
    <n v="2649"/>
    <n v="442406.37"/>
    <n v="167.01"/>
  </r>
  <r>
    <x v="6"/>
    <n v="2386"/>
    <n v="409846.01"/>
    <n v="171.77"/>
  </r>
  <r>
    <x v="7"/>
    <n v="3671"/>
    <n v="588529.96"/>
    <n v="160.32"/>
  </r>
  <r>
    <x v="8"/>
    <n v="3229"/>
    <n v="507302.62"/>
    <n v="157.11000000000001"/>
  </r>
  <r>
    <x v="9"/>
    <n v="3998"/>
    <n v="585331.36"/>
    <n v="146.41"/>
  </r>
  <r>
    <x v="10"/>
    <n v="4304"/>
    <n v="667224.47"/>
    <n v="155.02000000000001"/>
  </r>
  <r>
    <x v="11"/>
    <n v="4265"/>
    <n v="723781.27"/>
    <n v="169.7"/>
  </r>
  <r>
    <x v="12"/>
    <n v="4605"/>
    <n v="773104.35"/>
    <n v="167.88"/>
  </r>
  <r>
    <x v="13"/>
    <n v="7507"/>
    <n v="1187224.3600000001"/>
    <n v="158.15"/>
  </r>
  <r>
    <x v="14"/>
    <n v="5662"/>
    <n v="874962.23"/>
    <n v="154.53"/>
  </r>
  <r>
    <x v="15"/>
    <n v="7235"/>
    <n v="1109464"/>
    <n v="153.35"/>
  </r>
  <r>
    <x v="16"/>
    <n v="6655"/>
    <n v="984790.19"/>
    <n v="147.97999999999999"/>
  </r>
  <r>
    <x v="17"/>
    <n v="7185"/>
    <n v="1156243.76"/>
    <n v="160.91999999999999"/>
  </r>
  <r>
    <x v="18"/>
    <n v="6924"/>
    <n v="1157336.33"/>
    <n v="167.15"/>
  </r>
  <r>
    <x v="19"/>
    <n v="6849"/>
    <n v="1149483.77"/>
    <n v="167.83"/>
  </r>
  <r>
    <x v="20"/>
    <n v="6149"/>
    <n v="1021220.02"/>
    <n v="166.08"/>
  </r>
  <r>
    <x v="21"/>
    <n v="6251"/>
    <n v="1047422.72"/>
    <n v="167.56"/>
  </r>
  <r>
    <x v="22"/>
    <n v="6428"/>
    <n v="998504.15"/>
    <n v="155.34"/>
  </r>
  <r>
    <x v="23"/>
    <n v="1"/>
    <n v="166.46"/>
    <n v="166.4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4"/>
    <n v="1"/>
    <n v="2"/>
    <n v="25"/>
    <s v="\N"/>
    <s v="\N"/>
    <s v="\N"/>
  </r>
  <r>
    <x v="1"/>
    <n v="324"/>
    <n v="265"/>
    <n v="24"/>
    <n v="81.790000000000006"/>
    <n v="4"/>
    <n v="320"/>
    <n v="8000"/>
  </r>
  <r>
    <x v="2"/>
    <n v="1"/>
    <n v="1"/>
    <n v="0"/>
    <n v="100"/>
    <n v="324"/>
    <n v="-323"/>
    <n v="-99.69"/>
  </r>
  <r>
    <x v="3"/>
    <n v="800"/>
    <n v="750"/>
    <n v="3"/>
    <n v="93.75"/>
    <n v="1"/>
    <n v="799"/>
    <n v="79900"/>
  </r>
  <r>
    <x v="4"/>
    <n v="1780"/>
    <n v="1653"/>
    <n v="17"/>
    <n v="92.87"/>
    <n v="800"/>
    <n v="980"/>
    <n v="122.5"/>
  </r>
  <r>
    <x v="5"/>
    <n v="2682"/>
    <n v="2546"/>
    <n v="33"/>
    <n v="94.93"/>
    <n v="1780"/>
    <n v="902"/>
    <n v="50.67"/>
  </r>
  <r>
    <x v="6"/>
    <n v="2404"/>
    <n v="2303"/>
    <n v="18"/>
    <n v="95.8"/>
    <n v="2682"/>
    <n v="-278"/>
    <n v="-10.37"/>
  </r>
  <r>
    <x v="7"/>
    <n v="3700"/>
    <n v="3546"/>
    <n v="29"/>
    <n v="95.84"/>
    <n v="2404"/>
    <n v="1296"/>
    <n v="53.91"/>
  </r>
  <r>
    <x v="8"/>
    <n v="3245"/>
    <n v="3135"/>
    <n v="16"/>
    <n v="96.61"/>
    <n v="3700"/>
    <n v="-455"/>
    <n v="-12.3"/>
  </r>
  <r>
    <x v="9"/>
    <n v="4026"/>
    <n v="3872"/>
    <n v="28"/>
    <n v="96.17"/>
    <n v="3245"/>
    <n v="781"/>
    <n v="24.07"/>
  </r>
  <r>
    <x v="10"/>
    <n v="4331"/>
    <n v="4193"/>
    <n v="27"/>
    <n v="96.81"/>
    <n v="4026"/>
    <n v="305"/>
    <n v="7.58"/>
  </r>
  <r>
    <x v="11"/>
    <n v="4285"/>
    <n v="4150"/>
    <n v="20"/>
    <n v="96.85"/>
    <n v="4331"/>
    <n v="-46"/>
    <n v="-1.06"/>
  </r>
  <r>
    <x v="12"/>
    <n v="4631"/>
    <n v="4478"/>
    <n v="26"/>
    <n v="96.7"/>
    <n v="4285"/>
    <n v="346"/>
    <n v="8.07"/>
  </r>
  <r>
    <x v="13"/>
    <n v="7544"/>
    <n v="7289"/>
    <n v="37"/>
    <n v="96.62"/>
    <n v="4631"/>
    <n v="2913"/>
    <n v="62.9"/>
  </r>
  <r>
    <x v="14"/>
    <n v="5673"/>
    <n v="5513"/>
    <n v="11"/>
    <n v="97.18"/>
    <n v="7544"/>
    <n v="-1871"/>
    <n v="-24.8"/>
  </r>
  <r>
    <x v="15"/>
    <n v="7269"/>
    <n v="7069"/>
    <n v="34"/>
    <n v="97.25"/>
    <n v="5673"/>
    <n v="1596"/>
    <n v="28.13"/>
  </r>
  <r>
    <x v="16"/>
    <n v="6728"/>
    <n v="6555"/>
    <n v="73"/>
    <n v="97.43"/>
    <n v="7269"/>
    <n v="-541"/>
    <n v="-7.44"/>
  </r>
  <r>
    <x v="17"/>
    <n v="7211"/>
    <n v="7003"/>
    <n v="26"/>
    <n v="97.12"/>
    <n v="6728"/>
    <n v="483"/>
    <n v="7.18"/>
  </r>
  <r>
    <x v="18"/>
    <n v="6939"/>
    <n v="6798"/>
    <n v="15"/>
    <n v="97.97"/>
    <n v="7211"/>
    <n v="-272"/>
    <n v="-3.77"/>
  </r>
  <r>
    <x v="19"/>
    <n v="6873"/>
    <n v="6749"/>
    <n v="24"/>
    <n v="98.2"/>
    <n v="6939"/>
    <n v="-66"/>
    <n v="-0.95"/>
  </r>
  <r>
    <x v="20"/>
    <n v="6167"/>
    <n v="6099"/>
    <n v="18"/>
    <n v="98.9"/>
    <n v="6873"/>
    <n v="-706"/>
    <n v="-10.27"/>
  </r>
  <r>
    <x v="21"/>
    <n v="6292"/>
    <n v="6159"/>
    <n v="41"/>
    <n v="97.89"/>
    <n v="6167"/>
    <n v="125"/>
    <n v="2.0299999999999998"/>
  </r>
  <r>
    <x v="22"/>
    <n v="6512"/>
    <n v="6351"/>
    <n v="84"/>
    <n v="97.53"/>
    <n v="6292"/>
    <n v="220"/>
    <n v="3.5"/>
  </r>
  <r>
    <x v="23"/>
    <n v="16"/>
    <n v="0"/>
    <n v="15"/>
    <n v="0"/>
    <n v="6512"/>
    <n v="-6496"/>
    <n v="-99.75"/>
  </r>
  <r>
    <x v="24"/>
    <n v="4"/>
    <n v="0"/>
    <n v="4"/>
    <n v="0"/>
    <n v="16"/>
    <n v="-12"/>
    <n v="-7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33FEAA-F774-4A19-AE17-CE26085CDBDF}" name="PivotTable10"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9" firstHeaderRow="0" firstDataRow="1" firstDataCol="1"/>
  <pivotFields count="8">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dataField="1" showAll="0"/>
    <pivotField dataField="1" showAll="0"/>
    <pivotField showAll="0"/>
    <pivotField showAll="0"/>
    <pivotField showAll="0"/>
    <pivotField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Sum of total_orders" fld="1" baseField="0" baseItem="0"/>
    <dataField name="Sum of delivered_orders" fld="2" baseField="0" baseItem="0"/>
    <dataField name="Sum of cancelled_orde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F1C216-80DA-4A29-91DC-EBEF246A3DC4}" name="PivotTable9"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28" firstHeaderRow="0" firstDataRow="1" firstDataCol="1"/>
  <pivotFields count="4">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 dataField="1" showAll="0"/>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eligible_orders" fld="1" baseField="0" baseItem="0"/>
    <dataField name="Sum of total_recorder_payment_value" fld="2" baseField="0" baseItem="0" numFmtId="166"/>
    <dataField name="Average of average_payment_value_per_order" fld="3" subtotal="average" baseField="0" baseItem="0" numFmtId="166"/>
  </dataFields>
  <formats count="6">
    <format dxfId="6">
      <pivotArea dataOnly="0" labelOnly="1" outline="0" fieldPosition="0">
        <references count="1">
          <reference field="4294967294" count="1">
            <x v="1"/>
          </reference>
        </references>
      </pivotArea>
    </format>
    <format dxfId="5">
      <pivotArea dataOnly="0" labelOnly="1" outline="0" fieldPosition="0">
        <references count="1">
          <reference field="4294967294" count="1">
            <x v="2"/>
          </reference>
        </references>
      </pivotArea>
    </format>
    <format dxfId="4">
      <pivotArea field="0" grandRow="1" outline="0" collapsedLevelsAreSubtotals="1" axis="axisRow" fieldPosition="0">
        <references count="1">
          <reference field="4294967294" count="1" selected="0">
            <x v="2"/>
          </reference>
        </references>
      </pivotArea>
    </format>
    <format dxfId="3">
      <pivotArea field="0" grandRow="1" outline="0" collapsedLevelsAreSubtotals="1" axis="axisRow" fieldPosition="0">
        <references count="1">
          <reference field="4294967294" count="1" selected="0">
            <x v="1"/>
          </reference>
        </references>
      </pivotArea>
    </format>
    <format dxfId="1">
      <pivotArea outline="0" fieldPosition="0">
        <references count="1">
          <reference field="4294967294" count="1">
            <x v="1"/>
          </reference>
        </references>
      </pivotArea>
    </format>
    <format dxfId="0">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899E4A4-E0A0-45FE-B2EB-A7513AC2816F}" name="Table4" displayName="Table4" ref="F3:H28" totalsRowShown="0">
  <autoFilter ref="F3:H28" xr:uid="{5899E4A4-E0A0-45FE-B2EB-A7513AC2816F}"/>
  <tableColumns count="3">
    <tableColumn id="1" xr3:uid="{4740488B-9BC0-4AE3-96A8-C0FB007C8864}" name="Order_Month"/>
    <tableColumn id="2" xr3:uid="{FDA233BD-2886-4A71-8271-2B5CC5759A19}" name="Total Orders"/>
    <tableColumn id="3" xr3:uid="{FCB58FA4-383E-4F9C-9DF0-49D094166CC3}" name="Delivered ord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45905A-BDD2-4A87-96EE-52B659064425}" name="Table1" displayName="Table1" ref="A3:D27" totalsRowShown="0">
  <autoFilter ref="A3:D27" xr:uid="{1245905A-BDD2-4A87-96EE-52B659064425}"/>
  <tableColumns count="4">
    <tableColumn id="1" xr3:uid="{ADD20BE0-C2D0-465F-B778-0D6766707922}" name="order_month"/>
    <tableColumn id="2" xr3:uid="{1D8DADD4-8EA3-45EC-966A-7F5FF6C63B96}" name="eligible_orders"/>
    <tableColumn id="3" xr3:uid="{D61897C2-2B72-44ED-9F95-E8851B34EB54}" name="total_recorder_payment_value"/>
    <tableColumn id="4" xr3:uid="{B7636E12-110E-4C48-AB44-8728C14EEC50}" name="average_payment_value_per_ord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191B3CE-F1EF-4F0B-AED6-1982029D75FB}" name="Table2" displayName="Table2" ref="G3:H27" totalsRowShown="0">
  <autoFilter ref="G3:H27" xr:uid="{5191B3CE-F1EF-4F0B-AED6-1982029D75FB}"/>
  <tableColumns count="2">
    <tableColumn id="1" xr3:uid="{51469494-51FF-4D5B-947B-973E5D60EBAD}" name="Month"/>
    <tableColumn id="2" xr3:uid="{FC09EC1C-033F-4944-8F90-A10C79DDECBF}" name="Total Recorder Payment Value" dataDxfId="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7A200E-B592-4F47-9080-3563EE6D5D30}" name="Table3" displayName="Table3" ref="G30:H54" totalsRowShown="0">
  <autoFilter ref="G30:H54" xr:uid="{217A200E-B592-4F47-9080-3563EE6D5D30}"/>
  <tableColumns count="2">
    <tableColumn id="1" xr3:uid="{E465FBE7-C296-4EFB-B8FA-C9C8D4E750DB}" name="Month"/>
    <tableColumn id="2" xr3:uid="{7811B67F-14AE-4FA4-A7CB-27931E658F26}" name="Average Payment Value Per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ivotTable" Target="../pivotTables/pivotTable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CA67B-36C7-41A8-8BAB-760F18C2E588}">
  <dimension ref="A1:H26"/>
  <sheetViews>
    <sheetView workbookViewId="0">
      <selection activeCell="M17" sqref="M17"/>
    </sheetView>
  </sheetViews>
  <sheetFormatPr defaultRowHeight="14.4"/>
  <cols>
    <col min="1" max="1" width="11.21875" bestFit="1" customWidth="1"/>
    <col min="2" max="2" width="10.5546875" bestFit="1" customWidth="1"/>
    <col min="3" max="3" width="14.44140625" bestFit="1" customWidth="1"/>
    <col min="4" max="4" width="15" bestFit="1" customWidth="1"/>
    <col min="5" max="5" width="23.6640625" bestFit="1" customWidth="1"/>
    <col min="6" max="6" width="19.88671875" bestFit="1" customWidth="1"/>
    <col min="7" max="7" width="12" bestFit="1" customWidth="1"/>
    <col min="8" max="8" width="21.5546875" bestFit="1" customWidth="1"/>
  </cols>
  <sheetData>
    <row r="1" spans="1:8">
      <c r="A1" t="s">
        <v>26</v>
      </c>
      <c r="B1" t="s">
        <v>27</v>
      </c>
      <c r="C1" t="s">
        <v>28</v>
      </c>
      <c r="D1" t="s">
        <v>29</v>
      </c>
      <c r="E1" t="s">
        <v>30</v>
      </c>
      <c r="F1" t="s">
        <v>31</v>
      </c>
      <c r="G1" t="s">
        <v>32</v>
      </c>
      <c r="H1" t="s">
        <v>33</v>
      </c>
    </row>
    <row r="2" spans="1:8">
      <c r="A2" t="s">
        <v>0</v>
      </c>
      <c r="B2">
        <v>4</v>
      </c>
      <c r="C2">
        <v>1</v>
      </c>
      <c r="D2">
        <v>2</v>
      </c>
      <c r="E2">
        <v>25</v>
      </c>
      <c r="F2" t="s">
        <v>1</v>
      </c>
      <c r="G2" t="s">
        <v>1</v>
      </c>
      <c r="H2" t="s">
        <v>1</v>
      </c>
    </row>
    <row r="3" spans="1:8">
      <c r="A3" t="s">
        <v>2</v>
      </c>
      <c r="B3">
        <v>324</v>
      </c>
      <c r="C3">
        <v>265</v>
      </c>
      <c r="D3">
        <v>24</v>
      </c>
      <c r="E3">
        <v>81.790000000000006</v>
      </c>
      <c r="F3">
        <v>4</v>
      </c>
      <c r="G3">
        <v>320</v>
      </c>
      <c r="H3">
        <v>8000</v>
      </c>
    </row>
    <row r="4" spans="1:8">
      <c r="A4" t="s">
        <v>3</v>
      </c>
      <c r="B4">
        <v>1</v>
      </c>
      <c r="C4">
        <v>1</v>
      </c>
      <c r="D4">
        <v>0</v>
      </c>
      <c r="E4">
        <v>100</v>
      </c>
      <c r="F4">
        <v>324</v>
      </c>
      <c r="G4">
        <v>-323</v>
      </c>
      <c r="H4">
        <v>-99.69</v>
      </c>
    </row>
    <row r="5" spans="1:8">
      <c r="A5" t="s">
        <v>4</v>
      </c>
      <c r="B5">
        <v>800</v>
      </c>
      <c r="C5">
        <v>750</v>
      </c>
      <c r="D5">
        <v>3</v>
      </c>
      <c r="E5">
        <v>93.75</v>
      </c>
      <c r="F5">
        <v>1</v>
      </c>
      <c r="G5">
        <v>799</v>
      </c>
      <c r="H5">
        <v>79900</v>
      </c>
    </row>
    <row r="6" spans="1:8">
      <c r="A6" t="s">
        <v>5</v>
      </c>
      <c r="B6">
        <v>1780</v>
      </c>
      <c r="C6">
        <v>1653</v>
      </c>
      <c r="D6">
        <v>17</v>
      </c>
      <c r="E6">
        <v>92.87</v>
      </c>
      <c r="F6">
        <v>800</v>
      </c>
      <c r="G6">
        <v>980</v>
      </c>
      <c r="H6">
        <v>122.5</v>
      </c>
    </row>
    <row r="7" spans="1:8">
      <c r="A7" t="s">
        <v>6</v>
      </c>
      <c r="B7">
        <v>2682</v>
      </c>
      <c r="C7">
        <v>2546</v>
      </c>
      <c r="D7">
        <v>33</v>
      </c>
      <c r="E7">
        <v>94.93</v>
      </c>
      <c r="F7">
        <v>1780</v>
      </c>
      <c r="G7">
        <v>902</v>
      </c>
      <c r="H7">
        <v>50.67</v>
      </c>
    </row>
    <row r="8" spans="1:8">
      <c r="A8" t="s">
        <v>7</v>
      </c>
      <c r="B8">
        <v>2404</v>
      </c>
      <c r="C8">
        <v>2303</v>
      </c>
      <c r="D8">
        <v>18</v>
      </c>
      <c r="E8">
        <v>95.8</v>
      </c>
      <c r="F8">
        <v>2682</v>
      </c>
      <c r="G8">
        <v>-278</v>
      </c>
      <c r="H8">
        <v>-10.37</v>
      </c>
    </row>
    <row r="9" spans="1:8">
      <c r="A9" t="s">
        <v>8</v>
      </c>
      <c r="B9">
        <v>3700</v>
      </c>
      <c r="C9">
        <v>3546</v>
      </c>
      <c r="D9">
        <v>29</v>
      </c>
      <c r="E9">
        <v>95.84</v>
      </c>
      <c r="F9">
        <v>2404</v>
      </c>
      <c r="G9">
        <v>1296</v>
      </c>
      <c r="H9">
        <v>53.91</v>
      </c>
    </row>
    <row r="10" spans="1:8">
      <c r="A10" t="s">
        <v>9</v>
      </c>
      <c r="B10">
        <v>3245</v>
      </c>
      <c r="C10">
        <v>3135</v>
      </c>
      <c r="D10">
        <v>16</v>
      </c>
      <c r="E10">
        <v>96.61</v>
      </c>
      <c r="F10">
        <v>3700</v>
      </c>
      <c r="G10">
        <v>-455</v>
      </c>
      <c r="H10">
        <v>-12.3</v>
      </c>
    </row>
    <row r="11" spans="1:8">
      <c r="A11" t="s">
        <v>10</v>
      </c>
      <c r="B11">
        <v>4026</v>
      </c>
      <c r="C11">
        <v>3872</v>
      </c>
      <c r="D11">
        <v>28</v>
      </c>
      <c r="E11">
        <v>96.17</v>
      </c>
      <c r="F11">
        <v>3245</v>
      </c>
      <c r="G11">
        <v>781</v>
      </c>
      <c r="H11">
        <v>24.07</v>
      </c>
    </row>
    <row r="12" spans="1:8">
      <c r="A12" t="s">
        <v>11</v>
      </c>
      <c r="B12">
        <v>4331</v>
      </c>
      <c r="C12">
        <v>4193</v>
      </c>
      <c r="D12">
        <v>27</v>
      </c>
      <c r="E12">
        <v>96.81</v>
      </c>
      <c r="F12">
        <v>4026</v>
      </c>
      <c r="G12">
        <v>305</v>
      </c>
      <c r="H12">
        <v>7.58</v>
      </c>
    </row>
    <row r="13" spans="1:8">
      <c r="A13" t="s">
        <v>12</v>
      </c>
      <c r="B13">
        <v>4285</v>
      </c>
      <c r="C13">
        <v>4150</v>
      </c>
      <c r="D13">
        <v>20</v>
      </c>
      <c r="E13">
        <v>96.85</v>
      </c>
      <c r="F13">
        <v>4331</v>
      </c>
      <c r="G13">
        <v>-46</v>
      </c>
      <c r="H13">
        <v>-1.06</v>
      </c>
    </row>
    <row r="14" spans="1:8">
      <c r="A14" t="s">
        <v>13</v>
      </c>
      <c r="B14">
        <v>4631</v>
      </c>
      <c r="C14">
        <v>4478</v>
      </c>
      <c r="D14">
        <v>26</v>
      </c>
      <c r="E14">
        <v>96.7</v>
      </c>
      <c r="F14">
        <v>4285</v>
      </c>
      <c r="G14">
        <v>346</v>
      </c>
      <c r="H14">
        <v>8.07</v>
      </c>
    </row>
    <row r="15" spans="1:8">
      <c r="A15" t="s">
        <v>14</v>
      </c>
      <c r="B15">
        <v>7544</v>
      </c>
      <c r="C15">
        <v>7289</v>
      </c>
      <c r="D15">
        <v>37</v>
      </c>
      <c r="E15">
        <v>96.62</v>
      </c>
      <c r="F15">
        <v>4631</v>
      </c>
      <c r="G15">
        <v>2913</v>
      </c>
      <c r="H15">
        <v>62.9</v>
      </c>
    </row>
    <row r="16" spans="1:8">
      <c r="A16" t="s">
        <v>15</v>
      </c>
      <c r="B16">
        <v>5673</v>
      </c>
      <c r="C16">
        <v>5513</v>
      </c>
      <c r="D16">
        <v>11</v>
      </c>
      <c r="E16">
        <v>97.18</v>
      </c>
      <c r="F16">
        <v>7544</v>
      </c>
      <c r="G16">
        <v>-1871</v>
      </c>
      <c r="H16">
        <v>-24.8</v>
      </c>
    </row>
    <row r="17" spans="1:8">
      <c r="A17" t="s">
        <v>16</v>
      </c>
      <c r="B17">
        <v>7269</v>
      </c>
      <c r="C17">
        <v>7069</v>
      </c>
      <c r="D17">
        <v>34</v>
      </c>
      <c r="E17">
        <v>97.25</v>
      </c>
      <c r="F17">
        <v>5673</v>
      </c>
      <c r="G17">
        <v>1596</v>
      </c>
      <c r="H17">
        <v>28.13</v>
      </c>
    </row>
    <row r="18" spans="1:8">
      <c r="A18" t="s">
        <v>17</v>
      </c>
      <c r="B18">
        <v>6728</v>
      </c>
      <c r="C18">
        <v>6555</v>
      </c>
      <c r="D18">
        <v>73</v>
      </c>
      <c r="E18">
        <v>97.43</v>
      </c>
      <c r="F18">
        <v>7269</v>
      </c>
      <c r="G18">
        <v>-541</v>
      </c>
      <c r="H18">
        <v>-7.44</v>
      </c>
    </row>
    <row r="19" spans="1:8">
      <c r="A19" t="s">
        <v>18</v>
      </c>
      <c r="B19">
        <v>7211</v>
      </c>
      <c r="C19">
        <v>7003</v>
      </c>
      <c r="D19">
        <v>26</v>
      </c>
      <c r="E19">
        <v>97.12</v>
      </c>
      <c r="F19">
        <v>6728</v>
      </c>
      <c r="G19">
        <v>483</v>
      </c>
      <c r="H19">
        <v>7.18</v>
      </c>
    </row>
    <row r="20" spans="1:8">
      <c r="A20" t="s">
        <v>19</v>
      </c>
      <c r="B20">
        <v>6939</v>
      </c>
      <c r="C20">
        <v>6798</v>
      </c>
      <c r="D20">
        <v>15</v>
      </c>
      <c r="E20">
        <v>97.97</v>
      </c>
      <c r="F20">
        <v>7211</v>
      </c>
      <c r="G20">
        <v>-272</v>
      </c>
      <c r="H20">
        <v>-3.77</v>
      </c>
    </row>
    <row r="21" spans="1:8">
      <c r="A21" t="s">
        <v>20</v>
      </c>
      <c r="B21">
        <v>6873</v>
      </c>
      <c r="C21">
        <v>6749</v>
      </c>
      <c r="D21">
        <v>24</v>
      </c>
      <c r="E21">
        <v>98.2</v>
      </c>
      <c r="F21">
        <v>6939</v>
      </c>
      <c r="G21">
        <v>-66</v>
      </c>
      <c r="H21">
        <v>-0.95</v>
      </c>
    </row>
    <row r="22" spans="1:8">
      <c r="A22" t="s">
        <v>21</v>
      </c>
      <c r="B22">
        <v>6167</v>
      </c>
      <c r="C22">
        <v>6099</v>
      </c>
      <c r="D22">
        <v>18</v>
      </c>
      <c r="E22">
        <v>98.9</v>
      </c>
      <c r="F22">
        <v>6873</v>
      </c>
      <c r="G22">
        <v>-706</v>
      </c>
      <c r="H22">
        <v>-10.27</v>
      </c>
    </row>
    <row r="23" spans="1:8">
      <c r="A23" t="s">
        <v>22</v>
      </c>
      <c r="B23">
        <v>6292</v>
      </c>
      <c r="C23">
        <v>6159</v>
      </c>
      <c r="D23">
        <v>41</v>
      </c>
      <c r="E23">
        <v>97.89</v>
      </c>
      <c r="F23">
        <v>6167</v>
      </c>
      <c r="G23">
        <v>125</v>
      </c>
      <c r="H23">
        <v>2.0299999999999998</v>
      </c>
    </row>
    <row r="24" spans="1:8">
      <c r="A24" t="s">
        <v>23</v>
      </c>
      <c r="B24">
        <v>6512</v>
      </c>
      <c r="C24">
        <v>6351</v>
      </c>
      <c r="D24">
        <v>84</v>
      </c>
      <c r="E24">
        <v>97.53</v>
      </c>
      <c r="F24">
        <v>6292</v>
      </c>
      <c r="G24">
        <v>220</v>
      </c>
      <c r="H24">
        <v>3.5</v>
      </c>
    </row>
    <row r="25" spans="1:8">
      <c r="A25" t="s">
        <v>24</v>
      </c>
      <c r="B25">
        <v>16</v>
      </c>
      <c r="C25">
        <v>0</v>
      </c>
      <c r="D25">
        <v>15</v>
      </c>
      <c r="E25">
        <v>0</v>
      </c>
      <c r="F25">
        <v>6512</v>
      </c>
      <c r="G25">
        <v>-6496</v>
      </c>
      <c r="H25">
        <v>-99.75</v>
      </c>
    </row>
    <row r="26" spans="1:8">
      <c r="A26" t="s">
        <v>25</v>
      </c>
      <c r="B26">
        <v>4</v>
      </c>
      <c r="C26">
        <v>0</v>
      </c>
      <c r="D26">
        <v>4</v>
      </c>
      <c r="E26">
        <v>0</v>
      </c>
      <c r="F26">
        <v>16</v>
      </c>
      <c r="G26">
        <v>-12</v>
      </c>
      <c r="H26">
        <v>-75</v>
      </c>
    </row>
  </sheetData>
  <autoFilter ref="A1:H26" xr:uid="{B1FCA67B-36C7-41A8-8BAB-760F18C2E588}">
    <sortState xmlns:xlrd2="http://schemas.microsoft.com/office/spreadsheetml/2017/richdata2" ref="A2:H26">
      <sortCondition ref="A1:A26"/>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61D67-B23B-4C49-BC5C-2B07014BF5FB}">
  <dimension ref="A2:H35"/>
  <sheetViews>
    <sheetView workbookViewId="0">
      <selection activeCell="A2" sqref="A2"/>
    </sheetView>
  </sheetViews>
  <sheetFormatPr defaultRowHeight="14.4"/>
  <cols>
    <col min="1" max="1" width="12.44140625" bestFit="1" customWidth="1"/>
    <col min="2" max="2" width="17.21875" bestFit="1" customWidth="1"/>
    <col min="3" max="3" width="21.33203125" bestFit="1" customWidth="1"/>
    <col min="4" max="4" width="21.6640625" bestFit="1" customWidth="1"/>
    <col min="6" max="6" width="13.88671875" bestFit="1" customWidth="1"/>
    <col min="7" max="7" width="13.33203125" bestFit="1" customWidth="1"/>
    <col min="8" max="8" width="17" bestFit="1" customWidth="1"/>
  </cols>
  <sheetData>
    <row r="2" spans="1:8">
      <c r="A2" s="11" t="s">
        <v>68</v>
      </c>
    </row>
    <row r="3" spans="1:8">
      <c r="A3" s="7" t="s">
        <v>54</v>
      </c>
      <c r="B3" t="s">
        <v>62</v>
      </c>
      <c r="C3" t="s">
        <v>63</v>
      </c>
      <c r="D3" t="s">
        <v>64</v>
      </c>
      <c r="F3" t="s">
        <v>65</v>
      </c>
      <c r="G3" t="s">
        <v>66</v>
      </c>
      <c r="H3" t="s">
        <v>67</v>
      </c>
    </row>
    <row r="4" spans="1:8">
      <c r="A4" s="8" t="s">
        <v>0</v>
      </c>
      <c r="B4" s="9">
        <v>4</v>
      </c>
      <c r="C4" s="9">
        <v>1</v>
      </c>
      <c r="D4" s="9">
        <v>2</v>
      </c>
      <c r="F4" s="8" t="s">
        <v>0</v>
      </c>
      <c r="G4" s="9">
        <v>4</v>
      </c>
      <c r="H4" s="9">
        <v>1</v>
      </c>
    </row>
    <row r="5" spans="1:8">
      <c r="A5" s="8" t="s">
        <v>2</v>
      </c>
      <c r="B5" s="9">
        <v>324</v>
      </c>
      <c r="C5" s="9">
        <v>265</v>
      </c>
      <c r="D5" s="9">
        <v>24</v>
      </c>
      <c r="F5" s="8" t="s">
        <v>2</v>
      </c>
      <c r="G5" s="9">
        <v>324</v>
      </c>
      <c r="H5" s="9">
        <v>265</v>
      </c>
    </row>
    <row r="6" spans="1:8">
      <c r="A6" s="8" t="s">
        <v>3</v>
      </c>
      <c r="B6" s="9">
        <v>1</v>
      </c>
      <c r="C6" s="9">
        <v>1</v>
      </c>
      <c r="D6" s="9">
        <v>0</v>
      </c>
      <c r="F6" s="8" t="s">
        <v>3</v>
      </c>
      <c r="G6" s="9">
        <v>1</v>
      </c>
      <c r="H6" s="9">
        <v>1</v>
      </c>
    </row>
    <row r="7" spans="1:8">
      <c r="A7" s="8" t="s">
        <v>4</v>
      </c>
      <c r="B7" s="9">
        <v>800</v>
      </c>
      <c r="C7" s="9">
        <v>750</v>
      </c>
      <c r="D7" s="9">
        <v>3</v>
      </c>
      <c r="F7" s="8" t="s">
        <v>4</v>
      </c>
      <c r="G7" s="9">
        <v>800</v>
      </c>
      <c r="H7" s="9">
        <v>750</v>
      </c>
    </row>
    <row r="8" spans="1:8">
      <c r="A8" s="8" t="s">
        <v>5</v>
      </c>
      <c r="B8" s="9">
        <v>1780</v>
      </c>
      <c r="C8" s="9">
        <v>1653</v>
      </c>
      <c r="D8" s="9">
        <v>17</v>
      </c>
      <c r="F8" s="8" t="s">
        <v>5</v>
      </c>
      <c r="G8" s="9">
        <v>1780</v>
      </c>
      <c r="H8" s="9">
        <v>1653</v>
      </c>
    </row>
    <row r="9" spans="1:8">
      <c r="A9" s="8" t="s">
        <v>6</v>
      </c>
      <c r="B9" s="9">
        <v>2682</v>
      </c>
      <c r="C9" s="9">
        <v>2546</v>
      </c>
      <c r="D9" s="9">
        <v>33</v>
      </c>
      <c r="F9" s="8" t="s">
        <v>6</v>
      </c>
      <c r="G9" s="9">
        <v>2682</v>
      </c>
      <c r="H9" s="9">
        <v>2546</v>
      </c>
    </row>
    <row r="10" spans="1:8">
      <c r="A10" s="8" t="s">
        <v>7</v>
      </c>
      <c r="B10" s="9">
        <v>2404</v>
      </c>
      <c r="C10" s="9">
        <v>2303</v>
      </c>
      <c r="D10" s="9">
        <v>18</v>
      </c>
      <c r="F10" s="8" t="s">
        <v>7</v>
      </c>
      <c r="G10" s="9">
        <v>2404</v>
      </c>
      <c r="H10" s="9">
        <v>2303</v>
      </c>
    </row>
    <row r="11" spans="1:8">
      <c r="A11" s="8" t="s">
        <v>8</v>
      </c>
      <c r="B11" s="9">
        <v>3700</v>
      </c>
      <c r="C11" s="9">
        <v>3546</v>
      </c>
      <c r="D11" s="9">
        <v>29</v>
      </c>
      <c r="F11" s="8" t="s">
        <v>8</v>
      </c>
      <c r="G11" s="9">
        <v>3700</v>
      </c>
      <c r="H11" s="9">
        <v>3546</v>
      </c>
    </row>
    <row r="12" spans="1:8">
      <c r="A12" s="8" t="s">
        <v>9</v>
      </c>
      <c r="B12" s="9">
        <v>3245</v>
      </c>
      <c r="C12" s="9">
        <v>3135</v>
      </c>
      <c r="D12" s="9">
        <v>16</v>
      </c>
      <c r="F12" s="8" t="s">
        <v>9</v>
      </c>
      <c r="G12" s="9">
        <v>3245</v>
      </c>
      <c r="H12" s="9">
        <v>3135</v>
      </c>
    </row>
    <row r="13" spans="1:8">
      <c r="A13" s="8" t="s">
        <v>10</v>
      </c>
      <c r="B13" s="9">
        <v>4026</v>
      </c>
      <c r="C13" s="9">
        <v>3872</v>
      </c>
      <c r="D13" s="9">
        <v>28</v>
      </c>
      <c r="F13" s="8" t="s">
        <v>10</v>
      </c>
      <c r="G13" s="9">
        <v>4026</v>
      </c>
      <c r="H13" s="9">
        <v>3872</v>
      </c>
    </row>
    <row r="14" spans="1:8">
      <c r="A14" s="8" t="s">
        <v>11</v>
      </c>
      <c r="B14" s="9">
        <v>4331</v>
      </c>
      <c r="C14" s="9">
        <v>4193</v>
      </c>
      <c r="D14" s="9">
        <v>27</v>
      </c>
      <c r="F14" s="8" t="s">
        <v>11</v>
      </c>
      <c r="G14" s="9">
        <v>4331</v>
      </c>
      <c r="H14" s="9">
        <v>4193</v>
      </c>
    </row>
    <row r="15" spans="1:8">
      <c r="A15" s="8" t="s">
        <v>12</v>
      </c>
      <c r="B15" s="9">
        <v>4285</v>
      </c>
      <c r="C15" s="9">
        <v>4150</v>
      </c>
      <c r="D15" s="9">
        <v>20</v>
      </c>
      <c r="F15" s="8" t="s">
        <v>12</v>
      </c>
      <c r="G15" s="9">
        <v>4285</v>
      </c>
      <c r="H15" s="9">
        <v>4150</v>
      </c>
    </row>
    <row r="16" spans="1:8">
      <c r="A16" s="8" t="s">
        <v>13</v>
      </c>
      <c r="B16" s="9">
        <v>4631</v>
      </c>
      <c r="C16" s="9">
        <v>4478</v>
      </c>
      <c r="D16" s="9">
        <v>26</v>
      </c>
      <c r="F16" s="8" t="s">
        <v>13</v>
      </c>
      <c r="G16" s="9">
        <v>4631</v>
      </c>
      <c r="H16" s="9">
        <v>4478</v>
      </c>
    </row>
    <row r="17" spans="1:8">
      <c r="A17" s="8" t="s">
        <v>14</v>
      </c>
      <c r="B17" s="9">
        <v>7544</v>
      </c>
      <c r="C17" s="9">
        <v>7289</v>
      </c>
      <c r="D17" s="9">
        <v>37</v>
      </c>
      <c r="F17" s="8" t="s">
        <v>14</v>
      </c>
      <c r="G17" s="9">
        <v>7544</v>
      </c>
      <c r="H17" s="9">
        <v>7289</v>
      </c>
    </row>
    <row r="18" spans="1:8">
      <c r="A18" s="8" t="s">
        <v>15</v>
      </c>
      <c r="B18" s="9">
        <v>5673</v>
      </c>
      <c r="C18" s="9">
        <v>5513</v>
      </c>
      <c r="D18" s="9">
        <v>11</v>
      </c>
      <c r="F18" s="8" t="s">
        <v>15</v>
      </c>
      <c r="G18" s="9">
        <v>5673</v>
      </c>
      <c r="H18" s="9">
        <v>5513</v>
      </c>
    </row>
    <row r="19" spans="1:8">
      <c r="A19" s="8" t="s">
        <v>16</v>
      </c>
      <c r="B19" s="9">
        <v>7269</v>
      </c>
      <c r="C19" s="9">
        <v>7069</v>
      </c>
      <c r="D19" s="9">
        <v>34</v>
      </c>
      <c r="F19" s="8" t="s">
        <v>16</v>
      </c>
      <c r="G19" s="9">
        <v>7269</v>
      </c>
      <c r="H19" s="9">
        <v>7069</v>
      </c>
    </row>
    <row r="20" spans="1:8">
      <c r="A20" s="8" t="s">
        <v>17</v>
      </c>
      <c r="B20" s="9">
        <v>6728</v>
      </c>
      <c r="C20" s="9">
        <v>6555</v>
      </c>
      <c r="D20" s="9">
        <v>73</v>
      </c>
      <c r="F20" s="8" t="s">
        <v>17</v>
      </c>
      <c r="G20" s="9">
        <v>6728</v>
      </c>
      <c r="H20" s="9">
        <v>6555</v>
      </c>
    </row>
    <row r="21" spans="1:8">
      <c r="A21" s="8" t="s">
        <v>18</v>
      </c>
      <c r="B21" s="9">
        <v>7211</v>
      </c>
      <c r="C21" s="9">
        <v>7003</v>
      </c>
      <c r="D21" s="9">
        <v>26</v>
      </c>
      <c r="F21" s="8" t="s">
        <v>18</v>
      </c>
      <c r="G21" s="9">
        <v>7211</v>
      </c>
      <c r="H21" s="9">
        <v>7003</v>
      </c>
    </row>
    <row r="22" spans="1:8">
      <c r="A22" s="8" t="s">
        <v>19</v>
      </c>
      <c r="B22" s="9">
        <v>6939</v>
      </c>
      <c r="C22" s="9">
        <v>6798</v>
      </c>
      <c r="D22" s="9">
        <v>15</v>
      </c>
      <c r="F22" s="8" t="s">
        <v>19</v>
      </c>
      <c r="G22" s="9">
        <v>6939</v>
      </c>
      <c r="H22" s="9">
        <v>6798</v>
      </c>
    </row>
    <row r="23" spans="1:8">
      <c r="A23" s="8" t="s">
        <v>20</v>
      </c>
      <c r="B23" s="9">
        <v>6873</v>
      </c>
      <c r="C23" s="9">
        <v>6749</v>
      </c>
      <c r="D23" s="9">
        <v>24</v>
      </c>
      <c r="F23" s="8" t="s">
        <v>20</v>
      </c>
      <c r="G23" s="9">
        <v>6873</v>
      </c>
      <c r="H23" s="9">
        <v>6749</v>
      </c>
    </row>
    <row r="24" spans="1:8">
      <c r="A24" s="8" t="s">
        <v>21</v>
      </c>
      <c r="B24" s="9">
        <v>6167</v>
      </c>
      <c r="C24" s="9">
        <v>6099</v>
      </c>
      <c r="D24" s="9">
        <v>18</v>
      </c>
      <c r="F24" s="8" t="s">
        <v>21</v>
      </c>
      <c r="G24" s="9">
        <v>6167</v>
      </c>
      <c r="H24" s="9">
        <v>6099</v>
      </c>
    </row>
    <row r="25" spans="1:8">
      <c r="A25" s="8" t="s">
        <v>22</v>
      </c>
      <c r="B25" s="9">
        <v>6292</v>
      </c>
      <c r="C25" s="9">
        <v>6159</v>
      </c>
      <c r="D25" s="9">
        <v>41</v>
      </c>
      <c r="F25" s="8" t="s">
        <v>22</v>
      </c>
      <c r="G25" s="9">
        <v>6292</v>
      </c>
      <c r="H25" s="9">
        <v>6159</v>
      </c>
    </row>
    <row r="26" spans="1:8">
      <c r="A26" s="8" t="s">
        <v>23</v>
      </c>
      <c r="B26" s="9">
        <v>6512</v>
      </c>
      <c r="C26" s="9">
        <v>6351</v>
      </c>
      <c r="D26" s="9">
        <v>84</v>
      </c>
      <c r="F26" s="8" t="s">
        <v>23</v>
      </c>
      <c r="G26" s="9">
        <v>6512</v>
      </c>
      <c r="H26" s="9">
        <v>6351</v>
      </c>
    </row>
    <row r="27" spans="1:8">
      <c r="A27" s="8" t="s">
        <v>24</v>
      </c>
      <c r="B27" s="9">
        <v>16</v>
      </c>
      <c r="C27" s="9">
        <v>0</v>
      </c>
      <c r="D27" s="9">
        <v>15</v>
      </c>
      <c r="F27" s="8" t="s">
        <v>24</v>
      </c>
      <c r="G27" s="9">
        <v>16</v>
      </c>
      <c r="H27" s="9">
        <v>0</v>
      </c>
    </row>
    <row r="28" spans="1:8">
      <c r="A28" s="8" t="s">
        <v>25</v>
      </c>
      <c r="B28" s="9">
        <v>4</v>
      </c>
      <c r="C28" s="9">
        <v>0</v>
      </c>
      <c r="D28" s="9">
        <v>4</v>
      </c>
      <c r="F28" s="8" t="s">
        <v>25</v>
      </c>
      <c r="G28" s="9">
        <v>4</v>
      </c>
      <c r="H28" s="9">
        <v>0</v>
      </c>
    </row>
    <row r="29" spans="1:8">
      <c r="A29" s="8" t="s">
        <v>55</v>
      </c>
      <c r="B29" s="9">
        <v>99441</v>
      </c>
      <c r="C29" s="9">
        <v>96478</v>
      </c>
      <c r="D29" s="9">
        <v>625</v>
      </c>
    </row>
    <row r="35" spans="1:1">
      <c r="A35" s="11" t="s">
        <v>69</v>
      </c>
    </row>
  </sheetData>
  <pageMargins left="0.7" right="0.7" top="0.75" bottom="0.75" header="0.3" footer="0.3"/>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89001-ECD6-4223-ACFA-CB2B8BCBC58B}">
  <dimension ref="A3:D27"/>
  <sheetViews>
    <sheetView workbookViewId="0">
      <selection activeCell="A2" sqref="A2"/>
    </sheetView>
  </sheetViews>
  <sheetFormatPr defaultRowHeight="14.4"/>
  <cols>
    <col min="1" max="1" width="13.44140625" customWidth="1"/>
    <col min="2" max="2" width="15.21875" customWidth="1"/>
    <col min="3" max="3" width="28" customWidth="1"/>
    <col min="4" max="4" width="31.44140625" customWidth="1"/>
  </cols>
  <sheetData>
    <row r="3" spans="1:4">
      <c r="A3" s="5" t="s">
        <v>26</v>
      </c>
      <c r="B3" s="6" t="s">
        <v>51</v>
      </c>
      <c r="C3" s="6" t="s">
        <v>52</v>
      </c>
      <c r="D3" s="6" t="s">
        <v>53</v>
      </c>
    </row>
    <row r="4" spans="1:4">
      <c r="A4" t="s">
        <v>0</v>
      </c>
      <c r="B4">
        <v>1</v>
      </c>
      <c r="C4">
        <v>136.22999999999999</v>
      </c>
      <c r="D4">
        <v>136.22999999999999</v>
      </c>
    </row>
    <row r="5" spans="1:4">
      <c r="A5" t="s">
        <v>2</v>
      </c>
      <c r="B5">
        <v>300</v>
      </c>
      <c r="C5">
        <v>53915.5</v>
      </c>
      <c r="D5">
        <v>179.72</v>
      </c>
    </row>
    <row r="6" spans="1:4">
      <c r="A6" t="s">
        <v>3</v>
      </c>
      <c r="B6">
        <v>1</v>
      </c>
      <c r="C6">
        <v>19.62</v>
      </c>
      <c r="D6">
        <v>19.62</v>
      </c>
    </row>
    <row r="7" spans="1:4">
      <c r="A7" t="s">
        <v>4</v>
      </c>
      <c r="B7">
        <v>797</v>
      </c>
      <c r="C7">
        <v>138119.76</v>
      </c>
      <c r="D7">
        <v>173.3</v>
      </c>
    </row>
    <row r="8" spans="1:4">
      <c r="A8" t="s">
        <v>5</v>
      </c>
      <c r="B8">
        <v>1763</v>
      </c>
      <c r="C8">
        <v>289081.01</v>
      </c>
      <c r="D8">
        <v>163.97</v>
      </c>
    </row>
    <row r="9" spans="1:4">
      <c r="A9" t="s">
        <v>6</v>
      </c>
      <c r="B9">
        <v>2649</v>
      </c>
      <c r="C9">
        <v>442406.37</v>
      </c>
      <c r="D9">
        <v>167.01</v>
      </c>
    </row>
    <row r="10" spans="1:4">
      <c r="A10" t="s">
        <v>7</v>
      </c>
      <c r="B10">
        <v>2386</v>
      </c>
      <c r="C10">
        <v>409846.01</v>
      </c>
      <c r="D10">
        <v>171.77</v>
      </c>
    </row>
    <row r="11" spans="1:4">
      <c r="A11" t="s">
        <v>8</v>
      </c>
      <c r="B11">
        <v>3671</v>
      </c>
      <c r="C11">
        <v>588529.96</v>
      </c>
      <c r="D11">
        <v>160.32</v>
      </c>
    </row>
    <row r="12" spans="1:4">
      <c r="A12" t="s">
        <v>9</v>
      </c>
      <c r="B12">
        <v>3229</v>
      </c>
      <c r="C12">
        <v>507302.62</v>
      </c>
      <c r="D12">
        <v>157.11000000000001</v>
      </c>
    </row>
    <row r="13" spans="1:4">
      <c r="A13" t="s">
        <v>10</v>
      </c>
      <c r="B13">
        <v>3998</v>
      </c>
      <c r="C13">
        <v>585331.36</v>
      </c>
      <c r="D13">
        <v>146.41</v>
      </c>
    </row>
    <row r="14" spans="1:4">
      <c r="A14" t="s">
        <v>11</v>
      </c>
      <c r="B14">
        <v>4304</v>
      </c>
      <c r="C14">
        <v>667224.47</v>
      </c>
      <c r="D14">
        <v>155.02000000000001</v>
      </c>
    </row>
    <row r="15" spans="1:4">
      <c r="A15" t="s">
        <v>12</v>
      </c>
      <c r="B15">
        <v>4265</v>
      </c>
      <c r="C15">
        <v>723781.27</v>
      </c>
      <c r="D15">
        <v>169.7</v>
      </c>
    </row>
    <row r="16" spans="1:4">
      <c r="A16" t="s">
        <v>13</v>
      </c>
      <c r="B16">
        <v>4605</v>
      </c>
      <c r="C16">
        <v>773104.35</v>
      </c>
      <c r="D16">
        <v>167.88</v>
      </c>
    </row>
    <row r="17" spans="1:4">
      <c r="A17" t="s">
        <v>14</v>
      </c>
      <c r="B17">
        <v>7507</v>
      </c>
      <c r="C17">
        <v>1187224.3600000001</v>
      </c>
      <c r="D17">
        <v>158.15</v>
      </c>
    </row>
    <row r="18" spans="1:4">
      <c r="A18" t="s">
        <v>15</v>
      </c>
      <c r="B18">
        <v>5662</v>
      </c>
      <c r="C18">
        <v>874962.23</v>
      </c>
      <c r="D18">
        <v>154.53</v>
      </c>
    </row>
    <row r="19" spans="1:4">
      <c r="A19" t="s">
        <v>16</v>
      </c>
      <c r="B19">
        <v>7235</v>
      </c>
      <c r="C19">
        <v>1109464</v>
      </c>
      <c r="D19">
        <v>153.35</v>
      </c>
    </row>
    <row r="20" spans="1:4">
      <c r="A20" t="s">
        <v>17</v>
      </c>
      <c r="B20">
        <v>6655</v>
      </c>
      <c r="C20">
        <v>984790.19</v>
      </c>
      <c r="D20">
        <v>147.97999999999999</v>
      </c>
    </row>
    <row r="21" spans="1:4">
      <c r="A21" t="s">
        <v>18</v>
      </c>
      <c r="B21">
        <v>7185</v>
      </c>
      <c r="C21">
        <v>1156243.76</v>
      </c>
      <c r="D21">
        <v>160.91999999999999</v>
      </c>
    </row>
    <row r="22" spans="1:4">
      <c r="A22" t="s">
        <v>19</v>
      </c>
      <c r="B22">
        <v>6924</v>
      </c>
      <c r="C22">
        <v>1157336.33</v>
      </c>
      <c r="D22">
        <v>167.15</v>
      </c>
    </row>
    <row r="23" spans="1:4">
      <c r="A23" t="s">
        <v>20</v>
      </c>
      <c r="B23">
        <v>6849</v>
      </c>
      <c r="C23">
        <v>1149483.77</v>
      </c>
      <c r="D23">
        <v>167.83</v>
      </c>
    </row>
    <row r="24" spans="1:4">
      <c r="A24" t="s">
        <v>21</v>
      </c>
      <c r="B24">
        <v>6149</v>
      </c>
      <c r="C24">
        <v>1021220.02</v>
      </c>
      <c r="D24">
        <v>166.08</v>
      </c>
    </row>
    <row r="25" spans="1:4">
      <c r="A25" t="s">
        <v>22</v>
      </c>
      <c r="B25">
        <v>6251</v>
      </c>
      <c r="C25">
        <v>1047422.72</v>
      </c>
      <c r="D25">
        <v>167.56</v>
      </c>
    </row>
    <row r="26" spans="1:4">
      <c r="A26" t="s">
        <v>23</v>
      </c>
      <c r="B26">
        <v>6428</v>
      </c>
      <c r="C26">
        <v>998504.15</v>
      </c>
      <c r="D26">
        <v>155.34</v>
      </c>
    </row>
    <row r="27" spans="1:4">
      <c r="A27" t="s">
        <v>24</v>
      </c>
      <c r="B27">
        <v>1</v>
      </c>
      <c r="C27">
        <v>166.46</v>
      </c>
      <c r="D27">
        <v>166.46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9F546-0925-4417-A4BC-0383F4E570FC}">
  <dimension ref="A2:H54"/>
  <sheetViews>
    <sheetView workbookViewId="0">
      <selection activeCell="A51" sqref="A51"/>
    </sheetView>
  </sheetViews>
  <sheetFormatPr defaultRowHeight="14.4"/>
  <cols>
    <col min="1" max="1" width="12.44140625" bestFit="1" customWidth="1"/>
    <col min="2" max="2" width="19.5546875" bestFit="1" customWidth="1"/>
    <col min="3" max="3" width="32.6640625" bestFit="1" customWidth="1"/>
    <col min="4" max="4" width="39.109375" bestFit="1" customWidth="1"/>
    <col min="7" max="7" width="10.33203125" customWidth="1"/>
    <col min="8" max="8" width="28.33203125" bestFit="1" customWidth="1"/>
  </cols>
  <sheetData>
    <row r="2" spans="1:8">
      <c r="A2" s="11" t="s">
        <v>70</v>
      </c>
    </row>
    <row r="3" spans="1:8">
      <c r="A3" s="7" t="s">
        <v>54</v>
      </c>
      <c r="B3" t="s">
        <v>56</v>
      </c>
      <c r="C3" s="6" t="s">
        <v>57</v>
      </c>
      <c r="D3" s="6" t="s">
        <v>58</v>
      </c>
      <c r="G3" t="s">
        <v>59</v>
      </c>
      <c r="H3" t="s">
        <v>60</v>
      </c>
    </row>
    <row r="4" spans="1:8">
      <c r="A4" s="8" t="s">
        <v>0</v>
      </c>
      <c r="B4" s="9">
        <v>1</v>
      </c>
      <c r="C4" s="10">
        <v>136.22999999999999</v>
      </c>
      <c r="D4" s="10">
        <v>136.22999999999999</v>
      </c>
      <c r="G4" s="8" t="s">
        <v>0</v>
      </c>
      <c r="H4" s="10">
        <v>136.22999999999999</v>
      </c>
    </row>
    <row r="5" spans="1:8">
      <c r="A5" s="8" t="s">
        <v>2</v>
      </c>
      <c r="B5" s="9">
        <v>300</v>
      </c>
      <c r="C5" s="10">
        <v>53915.5</v>
      </c>
      <c r="D5" s="10">
        <v>179.72</v>
      </c>
      <c r="G5" s="8" t="s">
        <v>2</v>
      </c>
      <c r="H5" s="9">
        <v>53915.5</v>
      </c>
    </row>
    <row r="6" spans="1:8">
      <c r="A6" s="8" t="s">
        <v>3</v>
      </c>
      <c r="B6" s="9">
        <v>1</v>
      </c>
      <c r="C6" s="10">
        <v>19.62</v>
      </c>
      <c r="D6" s="10">
        <v>19.62</v>
      </c>
      <c r="G6" s="8" t="s">
        <v>3</v>
      </c>
      <c r="H6" s="9">
        <v>19.62</v>
      </c>
    </row>
    <row r="7" spans="1:8">
      <c r="A7" s="8" t="s">
        <v>4</v>
      </c>
      <c r="B7" s="9">
        <v>797</v>
      </c>
      <c r="C7" s="10">
        <v>138119.76</v>
      </c>
      <c r="D7" s="10">
        <v>173.3</v>
      </c>
      <c r="G7" s="8" t="s">
        <v>4</v>
      </c>
      <c r="H7" s="9">
        <v>138119.76</v>
      </c>
    </row>
    <row r="8" spans="1:8">
      <c r="A8" s="8" t="s">
        <v>5</v>
      </c>
      <c r="B8" s="9">
        <v>1763</v>
      </c>
      <c r="C8" s="10">
        <v>289081.01</v>
      </c>
      <c r="D8" s="10">
        <v>163.97</v>
      </c>
      <c r="G8" s="8" t="s">
        <v>5</v>
      </c>
      <c r="H8" s="9">
        <v>289081.01</v>
      </c>
    </row>
    <row r="9" spans="1:8">
      <c r="A9" s="8" t="s">
        <v>6</v>
      </c>
      <c r="B9" s="9">
        <v>2649</v>
      </c>
      <c r="C9" s="10">
        <v>442406.37</v>
      </c>
      <c r="D9" s="10">
        <v>167.01</v>
      </c>
      <c r="G9" s="8" t="s">
        <v>6</v>
      </c>
      <c r="H9" s="9">
        <v>442406.37</v>
      </c>
    </row>
    <row r="10" spans="1:8">
      <c r="A10" s="8" t="s">
        <v>7</v>
      </c>
      <c r="B10" s="9">
        <v>2386</v>
      </c>
      <c r="C10" s="10">
        <v>409846.01</v>
      </c>
      <c r="D10" s="10">
        <v>171.77</v>
      </c>
      <c r="G10" s="8" t="s">
        <v>7</v>
      </c>
      <c r="H10" s="9">
        <v>409846.01</v>
      </c>
    </row>
    <row r="11" spans="1:8">
      <c r="A11" s="8" t="s">
        <v>8</v>
      </c>
      <c r="B11" s="9">
        <v>3671</v>
      </c>
      <c r="C11" s="10">
        <v>588529.96</v>
      </c>
      <c r="D11" s="10">
        <v>160.32</v>
      </c>
      <c r="G11" s="8" t="s">
        <v>8</v>
      </c>
      <c r="H11" s="9">
        <v>588529.96</v>
      </c>
    </row>
    <row r="12" spans="1:8">
      <c r="A12" s="8" t="s">
        <v>9</v>
      </c>
      <c r="B12" s="9">
        <v>3229</v>
      </c>
      <c r="C12" s="10">
        <v>507302.62</v>
      </c>
      <c r="D12" s="10">
        <v>157.11000000000001</v>
      </c>
      <c r="G12" s="8" t="s">
        <v>9</v>
      </c>
      <c r="H12" s="9">
        <v>507302.62</v>
      </c>
    </row>
    <row r="13" spans="1:8">
      <c r="A13" s="8" t="s">
        <v>10</v>
      </c>
      <c r="B13" s="9">
        <v>3998</v>
      </c>
      <c r="C13" s="10">
        <v>585331.36</v>
      </c>
      <c r="D13" s="10">
        <v>146.41</v>
      </c>
      <c r="G13" s="8" t="s">
        <v>10</v>
      </c>
      <c r="H13" s="9">
        <v>585331.36</v>
      </c>
    </row>
    <row r="14" spans="1:8">
      <c r="A14" s="8" t="s">
        <v>11</v>
      </c>
      <c r="B14" s="9">
        <v>4304</v>
      </c>
      <c r="C14" s="10">
        <v>667224.47</v>
      </c>
      <c r="D14" s="10">
        <v>155.02000000000001</v>
      </c>
      <c r="G14" s="8" t="s">
        <v>11</v>
      </c>
      <c r="H14" s="9">
        <v>667224.47</v>
      </c>
    </row>
    <row r="15" spans="1:8">
      <c r="A15" s="8" t="s">
        <v>12</v>
      </c>
      <c r="B15" s="9">
        <v>4265</v>
      </c>
      <c r="C15" s="10">
        <v>723781.27</v>
      </c>
      <c r="D15" s="10">
        <v>169.7</v>
      </c>
      <c r="G15" s="8" t="s">
        <v>12</v>
      </c>
      <c r="H15" s="9">
        <v>723781.27</v>
      </c>
    </row>
    <row r="16" spans="1:8">
      <c r="A16" s="8" t="s">
        <v>13</v>
      </c>
      <c r="B16" s="9">
        <v>4605</v>
      </c>
      <c r="C16" s="10">
        <v>773104.35</v>
      </c>
      <c r="D16" s="10">
        <v>167.88</v>
      </c>
      <c r="G16" s="8" t="s">
        <v>13</v>
      </c>
      <c r="H16" s="9">
        <v>773104.35</v>
      </c>
    </row>
    <row r="17" spans="1:8">
      <c r="A17" s="8" t="s">
        <v>14</v>
      </c>
      <c r="B17" s="9">
        <v>7507</v>
      </c>
      <c r="C17" s="10">
        <v>1187224.3600000001</v>
      </c>
      <c r="D17" s="10">
        <v>158.15</v>
      </c>
      <c r="G17" s="8" t="s">
        <v>14</v>
      </c>
      <c r="H17" s="9">
        <v>1187224.3600000001</v>
      </c>
    </row>
    <row r="18" spans="1:8">
      <c r="A18" s="8" t="s">
        <v>15</v>
      </c>
      <c r="B18" s="9">
        <v>5662</v>
      </c>
      <c r="C18" s="10">
        <v>874962.23</v>
      </c>
      <c r="D18" s="10">
        <v>154.53</v>
      </c>
      <c r="G18" s="8" t="s">
        <v>15</v>
      </c>
      <c r="H18" s="9">
        <v>874962.23</v>
      </c>
    </row>
    <row r="19" spans="1:8">
      <c r="A19" s="8" t="s">
        <v>16</v>
      </c>
      <c r="B19" s="9">
        <v>7235</v>
      </c>
      <c r="C19" s="10">
        <v>1109464</v>
      </c>
      <c r="D19" s="10">
        <v>153.35</v>
      </c>
      <c r="G19" s="8" t="s">
        <v>16</v>
      </c>
      <c r="H19" s="9">
        <v>1109464</v>
      </c>
    </row>
    <row r="20" spans="1:8">
      <c r="A20" s="8" t="s">
        <v>17</v>
      </c>
      <c r="B20" s="9">
        <v>6655</v>
      </c>
      <c r="C20" s="10">
        <v>984790.19</v>
      </c>
      <c r="D20" s="10">
        <v>147.97999999999999</v>
      </c>
      <c r="G20" s="8" t="s">
        <v>17</v>
      </c>
      <c r="H20" s="9">
        <v>984790.19</v>
      </c>
    </row>
    <row r="21" spans="1:8">
      <c r="A21" s="8" t="s">
        <v>18</v>
      </c>
      <c r="B21" s="9">
        <v>7185</v>
      </c>
      <c r="C21" s="10">
        <v>1156243.76</v>
      </c>
      <c r="D21" s="10">
        <v>160.91999999999999</v>
      </c>
      <c r="G21" s="8" t="s">
        <v>18</v>
      </c>
      <c r="H21" s="9">
        <v>1156243.76</v>
      </c>
    </row>
    <row r="22" spans="1:8">
      <c r="A22" s="8" t="s">
        <v>19</v>
      </c>
      <c r="B22" s="9">
        <v>6924</v>
      </c>
      <c r="C22" s="10">
        <v>1157336.33</v>
      </c>
      <c r="D22" s="10">
        <v>167.15</v>
      </c>
      <c r="G22" s="8" t="s">
        <v>19</v>
      </c>
      <c r="H22" s="9">
        <v>1157336.33</v>
      </c>
    </row>
    <row r="23" spans="1:8">
      <c r="A23" s="8" t="s">
        <v>20</v>
      </c>
      <c r="B23" s="9">
        <v>6849</v>
      </c>
      <c r="C23" s="10">
        <v>1149483.77</v>
      </c>
      <c r="D23" s="10">
        <v>167.83</v>
      </c>
      <c r="G23" s="8" t="s">
        <v>20</v>
      </c>
      <c r="H23" s="9">
        <v>1149483.77</v>
      </c>
    </row>
    <row r="24" spans="1:8">
      <c r="A24" s="8" t="s">
        <v>21</v>
      </c>
      <c r="B24" s="9">
        <v>6149</v>
      </c>
      <c r="C24" s="10">
        <v>1021220.02</v>
      </c>
      <c r="D24" s="10">
        <v>166.08</v>
      </c>
      <c r="G24" s="8" t="s">
        <v>21</v>
      </c>
      <c r="H24" s="9">
        <v>1021220.02</v>
      </c>
    </row>
    <row r="25" spans="1:8">
      <c r="A25" s="8" t="s">
        <v>22</v>
      </c>
      <c r="B25" s="9">
        <v>6251</v>
      </c>
      <c r="C25" s="10">
        <v>1047422.72</v>
      </c>
      <c r="D25" s="10">
        <v>167.56</v>
      </c>
      <c r="G25" s="8" t="s">
        <v>22</v>
      </c>
      <c r="H25" s="9">
        <v>1047422.72</v>
      </c>
    </row>
    <row r="26" spans="1:8">
      <c r="A26" s="8" t="s">
        <v>23</v>
      </c>
      <c r="B26" s="9">
        <v>6428</v>
      </c>
      <c r="C26" s="10">
        <v>998504.15</v>
      </c>
      <c r="D26" s="10">
        <v>155.34</v>
      </c>
      <c r="G26" s="8" t="s">
        <v>23</v>
      </c>
      <c r="H26" s="9">
        <v>998504.15</v>
      </c>
    </row>
    <row r="27" spans="1:8">
      <c r="A27" s="8" t="s">
        <v>24</v>
      </c>
      <c r="B27" s="9">
        <v>1</v>
      </c>
      <c r="C27" s="10">
        <v>166.46</v>
      </c>
      <c r="D27" s="10">
        <v>166.46</v>
      </c>
      <c r="G27" s="8" t="s">
        <v>24</v>
      </c>
      <c r="H27" s="9">
        <v>166.46</v>
      </c>
    </row>
    <row r="28" spans="1:8">
      <c r="A28" s="8" t="s">
        <v>55</v>
      </c>
      <c r="B28" s="9">
        <v>98815</v>
      </c>
      <c r="C28" s="10">
        <v>15865616.52</v>
      </c>
      <c r="D28" s="10">
        <v>155.55875000000003</v>
      </c>
    </row>
    <row r="30" spans="1:8">
      <c r="G30" t="s">
        <v>59</v>
      </c>
      <c r="H30" t="s">
        <v>61</v>
      </c>
    </row>
    <row r="31" spans="1:8">
      <c r="G31" s="8" t="s">
        <v>0</v>
      </c>
      <c r="H31" s="10">
        <v>136.22999999999999</v>
      </c>
    </row>
    <row r="32" spans="1:8">
      <c r="A32" s="11" t="s">
        <v>71</v>
      </c>
      <c r="G32" s="8" t="s">
        <v>2</v>
      </c>
      <c r="H32" s="9">
        <v>179.72</v>
      </c>
    </row>
    <row r="33" spans="7:8">
      <c r="G33" s="8" t="s">
        <v>3</v>
      </c>
      <c r="H33" s="9">
        <v>19.62</v>
      </c>
    </row>
    <row r="34" spans="7:8">
      <c r="G34" s="8" t="s">
        <v>4</v>
      </c>
      <c r="H34" s="9">
        <v>173.3</v>
      </c>
    </row>
    <row r="35" spans="7:8">
      <c r="G35" s="8" t="s">
        <v>5</v>
      </c>
      <c r="H35" s="9">
        <v>163.97</v>
      </c>
    </row>
    <row r="36" spans="7:8">
      <c r="G36" s="8" t="s">
        <v>6</v>
      </c>
      <c r="H36" s="9">
        <v>167.01</v>
      </c>
    </row>
    <row r="37" spans="7:8">
      <c r="G37" s="8" t="s">
        <v>7</v>
      </c>
      <c r="H37" s="9">
        <v>171.77</v>
      </c>
    </row>
    <row r="38" spans="7:8">
      <c r="G38" s="8" t="s">
        <v>8</v>
      </c>
      <c r="H38" s="9">
        <v>160.32</v>
      </c>
    </row>
    <row r="39" spans="7:8">
      <c r="G39" s="8" t="s">
        <v>9</v>
      </c>
      <c r="H39" s="9">
        <v>157.11000000000001</v>
      </c>
    </row>
    <row r="40" spans="7:8">
      <c r="G40" s="8" t="s">
        <v>10</v>
      </c>
      <c r="H40" s="9">
        <v>146.41</v>
      </c>
    </row>
    <row r="41" spans="7:8">
      <c r="G41" s="8" t="s">
        <v>11</v>
      </c>
      <c r="H41" s="9">
        <v>155.02000000000001</v>
      </c>
    </row>
    <row r="42" spans="7:8">
      <c r="G42" s="8" t="s">
        <v>12</v>
      </c>
      <c r="H42" s="9">
        <v>169.7</v>
      </c>
    </row>
    <row r="43" spans="7:8">
      <c r="G43" s="8" t="s">
        <v>13</v>
      </c>
      <c r="H43" s="9">
        <v>167.88</v>
      </c>
    </row>
    <row r="44" spans="7:8">
      <c r="G44" s="8" t="s">
        <v>14</v>
      </c>
      <c r="H44" s="9">
        <v>158.15</v>
      </c>
    </row>
    <row r="45" spans="7:8">
      <c r="G45" s="8" t="s">
        <v>15</v>
      </c>
      <c r="H45" s="9">
        <v>154.53</v>
      </c>
    </row>
    <row r="46" spans="7:8">
      <c r="G46" s="8" t="s">
        <v>16</v>
      </c>
      <c r="H46" s="9">
        <v>153.35</v>
      </c>
    </row>
    <row r="47" spans="7:8">
      <c r="G47" s="8" t="s">
        <v>17</v>
      </c>
      <c r="H47" s="9">
        <v>147.97999999999999</v>
      </c>
    </row>
    <row r="48" spans="7:8">
      <c r="G48" s="8" t="s">
        <v>18</v>
      </c>
      <c r="H48" s="9">
        <v>160.91999999999999</v>
      </c>
    </row>
    <row r="49" spans="1:8">
      <c r="G49" s="8" t="s">
        <v>19</v>
      </c>
      <c r="H49" s="9">
        <v>167.15</v>
      </c>
    </row>
    <row r="50" spans="1:8">
      <c r="G50" s="8" t="s">
        <v>20</v>
      </c>
      <c r="H50" s="9">
        <v>167.83</v>
      </c>
    </row>
    <row r="51" spans="1:8">
      <c r="A51" s="11" t="s">
        <v>72</v>
      </c>
      <c r="G51" s="8" t="s">
        <v>21</v>
      </c>
      <c r="H51" s="9">
        <v>166.08</v>
      </c>
    </row>
    <row r="52" spans="1:8">
      <c r="G52" s="8" t="s">
        <v>22</v>
      </c>
      <c r="H52" s="9">
        <v>167.56</v>
      </c>
    </row>
    <row r="53" spans="1:8">
      <c r="G53" s="8" t="s">
        <v>23</v>
      </c>
      <c r="H53" s="9">
        <v>155.34</v>
      </c>
    </row>
    <row r="54" spans="1:8">
      <c r="G54" s="8" t="s">
        <v>24</v>
      </c>
      <c r="H54" s="9">
        <v>166.46</v>
      </c>
    </row>
  </sheetData>
  <pageMargins left="0.7" right="0.7" top="0.75" bottom="0.75" header="0.3" footer="0.3"/>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86B9-6E84-4C0A-BD48-71CF4A98D1FE}">
  <dimension ref="A1:A104"/>
  <sheetViews>
    <sheetView tabSelected="1" topLeftCell="A77" workbookViewId="0">
      <selection activeCell="A107" sqref="A107"/>
    </sheetView>
  </sheetViews>
  <sheetFormatPr defaultRowHeight="14.4"/>
  <cols>
    <col min="1" max="1" width="255.77734375" bestFit="1" customWidth="1"/>
  </cols>
  <sheetData>
    <row r="1" spans="1:1" ht="23.4">
      <c r="A1" s="1" t="s">
        <v>34</v>
      </c>
    </row>
    <row r="3" spans="1:1" ht="18">
      <c r="A3" s="2" t="s">
        <v>35</v>
      </c>
    </row>
    <row r="4" spans="1:1">
      <c r="A4" s="3"/>
    </row>
    <row r="5" spans="1:1">
      <c r="A5" s="4" t="s">
        <v>36</v>
      </c>
    </row>
    <row r="6" spans="1:1">
      <c r="A6" s="3"/>
    </row>
    <row r="7" spans="1:1">
      <c r="A7" s="4" t="s">
        <v>37</v>
      </c>
    </row>
    <row r="8" spans="1:1">
      <c r="A8" s="3"/>
    </row>
    <row r="9" spans="1:1">
      <c r="A9" s="4" t="s">
        <v>38</v>
      </c>
    </row>
    <row r="10" spans="1:1">
      <c r="A10" s="3"/>
    </row>
    <row r="11" spans="1:1">
      <c r="A11" s="4" t="s">
        <v>39</v>
      </c>
    </row>
    <row r="12" spans="1:1">
      <c r="A12" s="3"/>
    </row>
    <row r="13" spans="1:1">
      <c r="A13" s="4" t="s">
        <v>40</v>
      </c>
    </row>
    <row r="14" spans="1:1">
      <c r="A14" s="3"/>
    </row>
    <row r="15" spans="1:1">
      <c r="A15" s="4" t="s">
        <v>41</v>
      </c>
    </row>
    <row r="17" spans="1:1" ht="18">
      <c r="A17" s="2" t="s">
        <v>42</v>
      </c>
    </row>
    <row r="19" spans="1:1">
      <c r="A19" t="s">
        <v>43</v>
      </c>
    </row>
    <row r="21" spans="1:1" ht="18">
      <c r="A21" s="2" t="s">
        <v>44</v>
      </c>
    </row>
    <row r="22" spans="1:1">
      <c r="A22" s="3"/>
    </row>
    <row r="23" spans="1:1">
      <c r="A23" s="3" t="s">
        <v>45</v>
      </c>
    </row>
    <row r="24" spans="1:1">
      <c r="A24" s="3"/>
    </row>
    <row r="25" spans="1:1">
      <c r="A25" s="3" t="s">
        <v>46</v>
      </c>
    </row>
    <row r="26" spans="1:1">
      <c r="A26" s="3"/>
    </row>
    <row r="27" spans="1:1">
      <c r="A27" s="3" t="s">
        <v>47</v>
      </c>
    </row>
    <row r="28" spans="1:1">
      <c r="A28" s="3"/>
    </row>
    <row r="29" spans="1:1">
      <c r="A29" s="3" t="s">
        <v>48</v>
      </c>
    </row>
    <row r="31" spans="1:1" ht="18">
      <c r="A31" s="2" t="s">
        <v>49</v>
      </c>
    </row>
    <row r="33" spans="1:1">
      <c r="A33" t="s">
        <v>50</v>
      </c>
    </row>
    <row r="38" spans="1:1" ht="31.2">
      <c r="A38" s="12" t="s">
        <v>73</v>
      </c>
    </row>
    <row r="40" spans="1:1" ht="23.4">
      <c r="A40" s="1" t="s">
        <v>74</v>
      </c>
    </row>
    <row r="42" spans="1:1">
      <c r="A42" t="s">
        <v>75</v>
      </c>
    </row>
    <row r="44" spans="1:1" ht="23.4">
      <c r="A44" s="1" t="s">
        <v>76</v>
      </c>
    </row>
    <row r="46" spans="1:1">
      <c r="A46" s="11" t="s">
        <v>77</v>
      </c>
    </row>
    <row r="48" spans="1:1">
      <c r="A48" t="s">
        <v>78</v>
      </c>
    </row>
    <row r="50" spans="1:1">
      <c r="A50" s="11" t="s">
        <v>79</v>
      </c>
    </row>
    <row r="52" spans="1:1">
      <c r="A52" t="s">
        <v>80</v>
      </c>
    </row>
    <row r="54" spans="1:1">
      <c r="A54" s="11" t="s">
        <v>81</v>
      </c>
    </row>
    <row r="56" spans="1:1">
      <c r="A56" t="s">
        <v>82</v>
      </c>
    </row>
    <row r="58" spans="1:1">
      <c r="A58" s="11" t="s">
        <v>83</v>
      </c>
    </row>
    <row r="60" spans="1:1">
      <c r="A60" t="s">
        <v>84</v>
      </c>
    </row>
    <row r="62" spans="1:1">
      <c r="A62" s="11" t="s">
        <v>85</v>
      </c>
    </row>
    <row r="64" spans="1:1">
      <c r="A64" t="s">
        <v>86</v>
      </c>
    </row>
    <row r="66" spans="1:1" ht="23.4">
      <c r="A66" s="1" t="s">
        <v>87</v>
      </c>
    </row>
    <row r="68" spans="1:1">
      <c r="A68" t="s">
        <v>88</v>
      </c>
    </row>
    <row r="70" spans="1:1">
      <c r="A70" t="s">
        <v>89</v>
      </c>
    </row>
    <row r="72" spans="1:1" ht="23.4">
      <c r="A72" s="1" t="s">
        <v>90</v>
      </c>
    </row>
    <row r="73" spans="1:1">
      <c r="A73" s="3"/>
    </row>
    <row r="74" spans="1:1">
      <c r="A74" s="3" t="s">
        <v>91</v>
      </c>
    </row>
    <row r="75" spans="1:1">
      <c r="A75" s="3"/>
    </row>
    <row r="76" spans="1:1">
      <c r="A76" s="3" t="s">
        <v>92</v>
      </c>
    </row>
    <row r="77" spans="1:1">
      <c r="A77" s="3"/>
    </row>
    <row r="78" spans="1:1">
      <c r="A78" s="3" t="s">
        <v>93</v>
      </c>
    </row>
    <row r="79" spans="1:1">
      <c r="A79" s="3"/>
    </row>
    <row r="80" spans="1:1">
      <c r="A80" s="3" t="s">
        <v>94</v>
      </c>
    </row>
    <row r="81" spans="1:1">
      <c r="A81" s="3"/>
    </row>
    <row r="82" spans="1:1">
      <c r="A82" s="3" t="s">
        <v>95</v>
      </c>
    </row>
    <row r="84" spans="1:1" ht="23.4">
      <c r="A84" s="1" t="s">
        <v>96</v>
      </c>
    </row>
    <row r="85" spans="1:1">
      <c r="A85" s="3"/>
    </row>
    <row r="86" spans="1:1">
      <c r="A86" s="3" t="s">
        <v>97</v>
      </c>
    </row>
    <row r="87" spans="1:1">
      <c r="A87" s="3"/>
    </row>
    <row r="88" spans="1:1">
      <c r="A88" s="3" t="s">
        <v>98</v>
      </c>
    </row>
    <row r="89" spans="1:1">
      <c r="A89" s="3"/>
    </row>
    <row r="90" spans="1:1">
      <c r="A90" s="3" t="s">
        <v>99</v>
      </c>
    </row>
    <row r="91" spans="1:1">
      <c r="A91" s="3"/>
    </row>
    <row r="92" spans="1:1">
      <c r="A92" s="3" t="s">
        <v>100</v>
      </c>
    </row>
    <row r="93" spans="1:1">
      <c r="A93" s="3"/>
    </row>
    <row r="94" spans="1:1">
      <c r="A94" s="3" t="s">
        <v>101</v>
      </c>
    </row>
    <row r="95" spans="1:1">
      <c r="A95" s="3"/>
    </row>
    <row r="96" spans="1:1">
      <c r="A96" s="3" t="s">
        <v>102</v>
      </c>
    </row>
    <row r="97" spans="1:1">
      <c r="A97" s="3"/>
    </row>
    <row r="98" spans="1:1">
      <c r="A98" s="3" t="s">
        <v>103</v>
      </c>
    </row>
    <row r="99" spans="1:1">
      <c r="A99" s="3"/>
    </row>
    <row r="100" spans="1:1">
      <c r="A100" s="3" t="s">
        <v>104</v>
      </c>
    </row>
    <row r="102" spans="1:1" ht="23.4">
      <c r="A102" s="1" t="s">
        <v>105</v>
      </c>
    </row>
    <row r="104" spans="1:1">
      <c r="A104"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D799A52-37AB-4088-8864-EDCADCA3B5F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Mission_4B_Monthly_Order_Trends</vt:lpstr>
      <vt:lpstr>Order Trend Pivots</vt:lpstr>
      <vt:lpstr>Monthly Payment Value</vt:lpstr>
      <vt:lpstr>Payment_Pivots</vt:lpstr>
      <vt:lpstr>Phase 4B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riya mittal</dc:creator>
  <cp:lastModifiedBy>riya mittal</cp:lastModifiedBy>
  <dcterms:created xsi:type="dcterms:W3CDTF">2026-10-21T19:03:45Z</dcterms:created>
  <dcterms:modified xsi:type="dcterms:W3CDTF">2026-10-22T02:28:24Z</dcterms:modified>
</cp:coreProperties>
</file>