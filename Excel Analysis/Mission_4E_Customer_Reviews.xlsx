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https://d.docs.live.net/85e37282ad1bd1e2/Desktop/Olist_Flagship_Project/Excel/"/>
    </mc:Choice>
  </mc:AlternateContent>
  <xr:revisionPtr revIDLastSave="172" documentId="8_{B15E64CD-82E8-45C6-9D77-9C8D2BB0D9BB}" xr6:coauthVersionLast="47" xr6:coauthVersionMax="47" xr10:uidLastSave="{1FFB98ED-41AA-42E2-87F6-C1DC375FB0FA}"/>
  <bookViews>
    <workbookView xWindow="-108" yWindow="-108" windowWidth="23256" windowHeight="13896" firstSheet="1" activeTab="5" xr2:uid="{F33F608C-F3B5-43D9-899E-4EF238348AA0}"/>
  </bookViews>
  <sheets>
    <sheet name="Delivery vs Reviews" sheetId="2" r:id="rId1"/>
    <sheet name="Comments vs Delay" sheetId="3" r:id="rId2"/>
    <sheet name="Review Population" sheetId="4" r:id="rId3"/>
    <sheet name="Issue Flags" sheetId="5" r:id="rId4"/>
    <sheet name="Mission_4E Pivots" sheetId="1" r:id="rId5"/>
    <sheet name="Mission_4E Findings" sheetId="6" r:id="rId6"/>
  </sheets>
  <definedNames>
    <definedName name="ExternalData_1" localSheetId="1" hidden="1">'Comments vs Delay'!$A$1:$E$5</definedName>
    <definedName name="ExternalData_1" localSheetId="0" hidden="1">'Delivery vs Reviews'!$A$1:$H$5</definedName>
    <definedName name="ExternalData_1" localSheetId="3" hidden="1">'Issue Flags'!$A$1:$G$4</definedName>
    <definedName name="ExternalData_1" localSheetId="2" hidden="1">'Review Population'!$A$1:$D$4</definedName>
  </definedNames>
  <calcPr calcId="191029"/>
  <pivotCaches>
    <pivotCache cacheId="3" r:id="rId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80F05C6-7E52-49AA-9BEF-51B2FDFB5C74}" keepAlive="1" name="Query - phase4e_1_delivery_vs_reviews" description="Connection to the 'phase4e_1_delivery_vs_reviews' query in the workbook." type="5" refreshedVersion="8" background="1" saveData="1">
    <dbPr connection="Provider=Microsoft.Mashup.OleDb.1;Data Source=$Workbook$;Location=phase4e_1_delivery_vs_reviews;Extended Properties=&quot;&quot;" command="SELECT * FROM [phase4e_1_delivery_vs_reviews]"/>
  </connection>
  <connection id="2" xr16:uid="{498BB12D-DC24-40D7-BF16-3AED5C677905}" keepAlive="1" name="Query - phase4e_2_written_comments_by_delay" description="Connection to the 'phase4e_2_written_comments_by_delay' query in the workbook." type="5" refreshedVersion="8" background="1" saveData="1">
    <dbPr connection="Provider=Microsoft.Mashup.OleDb.1;Data Source=$Workbook$;Location=phase4e_2_written_comments_by_delay;Extended Properties=&quot;&quot;" command="SELECT * FROM [phase4e_2_written_comments_by_delay]"/>
  </connection>
  <connection id="3" xr16:uid="{8FCF8E34-EB45-4478-8D5F-5A1CE3EBE185}" keepAlive="1" name="Query - phase4e_3_review_population" description="Connection to the 'phase4e_3_review_population' query in the workbook." type="5" refreshedVersion="8" background="1" saveData="1">
    <dbPr connection="Provider=Microsoft.Mashup.OleDb.1;Data Source=$Workbook$;Location=phase4e_3_review_population;Extended Properties=&quot;&quot;" command="SELECT * FROM [phase4e_3_review_population]"/>
  </connection>
  <connection id="4" xr16:uid="{0984986C-BE7C-41D8-BED0-221B215151D4}" keepAlive="1" name="Query - phase4e_4_issue_flags_by_rating" description="Connection to the 'phase4e_4_issue_flags_by_rating' query in the workbook." type="5" refreshedVersion="8" background="1" saveData="1">
    <dbPr connection="Provider=Microsoft.Mashup.OleDb.1;Data Source=$Workbook$;Location=phase4e_4_issue_flags_by_rating;Extended Properties=&quot;&quot;" command="SELECT * FROM [phase4e_4_issue_flags_by_rating]"/>
  </connection>
</connections>
</file>

<file path=xl/sharedStrings.xml><?xml version="1.0" encoding="utf-8"?>
<sst xmlns="http://schemas.openxmlformats.org/spreadsheetml/2006/main" count="86" uniqueCount="49">
  <si>
    <t>On time or early</t>
  </si>
  <si>
    <t>1-7 days late</t>
  </si>
  <si>
    <t>8-30 days late</t>
  </si>
  <si>
    <t>&gt;30 days late</t>
  </si>
  <si>
    <t>Low score (1-2)</t>
  </si>
  <si>
    <t>Middle score (3)</t>
  </si>
  <si>
    <t>High score (4-5)</t>
  </si>
  <si>
    <t>delay_band</t>
  </si>
  <si>
    <t>order_count</t>
  </si>
  <si>
    <t>low_score_1_orders</t>
  </si>
  <si>
    <t>low_score_2_orders</t>
  </si>
  <si>
    <t>mid_score_orders</t>
  </si>
  <si>
    <t>high_score_orders</t>
  </si>
  <si>
    <t>top_score_orders</t>
  </si>
  <si>
    <t>avg_review_score_per_order</t>
  </si>
  <si>
    <t>total_orders</t>
  </si>
  <si>
    <t>orders_with_written_comments</t>
  </si>
  <si>
    <t>orders_without_written_comments</t>
  </si>
  <si>
    <t>written_comment_rate_pct</t>
  </si>
  <si>
    <t>rating_group</t>
  </si>
  <si>
    <t>review_records</t>
  </si>
  <si>
    <t>written_review_records</t>
  </si>
  <si>
    <t>reviews_without_written_comments</t>
  </si>
  <si>
    <t>total_review_records</t>
  </si>
  <si>
    <t>avg_review_score</t>
  </si>
  <si>
    <t>written_comment_pct</t>
  </si>
  <si>
    <t>written_reviews_with_any_issue_flag</t>
  </si>
  <si>
    <t>pct_written_reviews_with_issue_flag</t>
  </si>
  <si>
    <t>Mission_4E.1</t>
  </si>
  <si>
    <t>Mission_4E Findings — Customer Reviews Analysis</t>
  </si>
  <si>
    <t>Finding 1: Average Review Score by Delivery Delay</t>
  </si>
  <si>
    <t>Average review scores were lower for late-delivery groups than for orders delivered on time or early. The 8–30-day delay group had the lowest average score (1.65), while the more-than-30-day group averaged 2.06. This indicates an association between delivery delay and review scores, not proof of causation. The more-than-30-day group was relatively small.</t>
  </si>
  <si>
    <t>Mission_4E.2</t>
  </si>
  <si>
    <t>Finding 2: Review-Score Distribution by Delivery Delay</t>
  </si>
  <si>
    <t>The 100% stacked column chart compares the distribution of order-level average review scores across delivery-delay groups. It allows the relative share of each score band to be compared despite differences in group size. The analysis should focus on whether late-delivery groups have a larger share of low-score orders and a smaller share of high-score orders than the on-time or early group. These patterns would indicate an association between delivery delay and review scores, not proof of causation. The more-than-30-day delay group is relatively small, so its distribution should be interpreted cautiously.</t>
  </si>
  <si>
    <t>Mission_4E.3</t>
  </si>
  <si>
    <t>Finding 3: Written-Comment Rate by Delivery Delay</t>
  </si>
  <si>
    <t>The written-comment rate increased across delivery-delay groups, rising from 40.93% for orders delivered on time or early to 64.44% for orders delayed by 8–30 days. For orders delayed by more than 30 days, the rate was 65.51%. This represents a 24.58-percentage-point difference between the more-than-30-day delay group and the on-time-or-early group. The pattern suggests that customers were more likely to leave written feedback when delivery was delayed. However, comment presence alone does not establish whether the feedback was positive or negative, and the observed association does not prove causation. The more-than-30-day group contained 345 orders in this analysis.</t>
  </si>
  <si>
    <t>Mission_4E.4</t>
  </si>
  <si>
    <t>Finding 4: Issue Flags by Rating Group</t>
  </si>
  <si>
    <t>Keyword-based issue flags appeared much more frequently in written reviews with low scores (1–2) than in reviews with high scores (4–5). The issue-flag rate was 39.41% for low-score written reviews, 16.68% for middle-score written reviews, and 4.50% for high-score written reviews. The low-score group’s rate was approximately 8.8 times the high-score group’s rate. This pattern suggests that written feedback accompanying low ratings may be a useful starting point for investigating customer problems. However, the flags are exploratory keyword matches, not verified issue classifications, and a relationship between issue flags and ratings does not establish causation.</t>
  </si>
  <si>
    <t>Mission_4E.5</t>
  </si>
  <si>
    <t>Row Labels</t>
  </si>
  <si>
    <t>Grand Total</t>
  </si>
  <si>
    <t>Sum of written_review_records</t>
  </si>
  <si>
    <t>Sum of reviews_without_written_comments</t>
  </si>
  <si>
    <t>Mission_4E.6</t>
  </si>
  <si>
    <t>Finding 5: Written-Comment Coverage by Rating Group</t>
  </si>
  <si>
    <t>Written-comment coverage differed across rating groups. In the low-score group (ratings 1–2), 10,994 of 14,575 review records contained written comments (75.43%). In the middle-score group (rating 3), 3,644 of 8,179 records contained comments (44.55%). In the high-score group (ratings 4–5), 28,059 of 76,470 records contained comments (36.69%). This shows that written feedback was more common among low-score reviews than among high-score reviews. Comment presence alone does not establish sentiment or identify the underlying cause of a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</si>
</sst>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0"/>
      <name val="Aptos Narrow"/>
      <family val="2"/>
      <scheme val="minor"/>
    </font>
    <font>
      <b/>
      <sz val="11"/>
      <color theme="1"/>
      <name val="Aptos Narrow"/>
      <family val="2"/>
      <scheme val="minor"/>
    </font>
    <font>
      <b/>
      <sz val="24"/>
      <color theme="1"/>
      <name val="Aptos Narrow"/>
      <family val="2"/>
      <scheme val="minor"/>
    </font>
    <font>
      <b/>
      <sz val="18"/>
      <color theme="1"/>
      <name val="Aptos Narrow"/>
      <family val="2"/>
      <scheme val="minor"/>
    </font>
  </fonts>
  <fills count="4">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s>
  <borders count="4">
    <border>
      <left/>
      <right/>
      <top/>
      <bottom/>
      <diagonal/>
    </border>
    <border>
      <left/>
      <right/>
      <top style="thin">
        <color theme="9" tint="0.39997558519241921"/>
      </top>
      <bottom style="thin">
        <color theme="9" tint="0.39997558519241921"/>
      </bottom>
      <diagonal/>
    </border>
    <border>
      <left/>
      <right/>
      <top/>
      <bottom style="thin">
        <color theme="9" tint="0.39997558519241921"/>
      </bottom>
      <diagonal/>
    </border>
    <border>
      <left/>
      <right/>
      <top style="thin">
        <color theme="9" tint="0.39997558519241921"/>
      </top>
      <bottom/>
      <diagonal/>
    </border>
  </borders>
  <cellStyleXfs count="1">
    <xf numFmtId="0" fontId="0" fillId="0" borderId="0"/>
  </cellStyleXfs>
  <cellXfs count="18">
    <xf numFmtId="0" fontId="0" fillId="0" borderId="0" xfId="0"/>
    <xf numFmtId="0" fontId="0" fillId="0" borderId="0" xfId="0" applyNumberFormat="1"/>
    <xf numFmtId="0" fontId="0" fillId="3" borderId="1" xfId="0" applyFont="1" applyFill="1" applyBorder="1"/>
    <xf numFmtId="0" fontId="0" fillId="0" borderId="1" xfId="0" applyFont="1" applyBorder="1"/>
    <xf numFmtId="0" fontId="2" fillId="0" borderId="0" xfId="0" applyFont="1"/>
    <xf numFmtId="0" fontId="0" fillId="3" borderId="1" xfId="0" applyNumberFormat="1" applyFont="1" applyFill="1" applyBorder="1"/>
    <xf numFmtId="0" fontId="0" fillId="0" borderId="1" xfId="0" applyNumberFormat="1" applyFont="1" applyBorder="1"/>
    <xf numFmtId="0" fontId="1" fillId="2" borderId="2" xfId="0" applyFont="1" applyFill="1" applyBorder="1"/>
    <xf numFmtId="0" fontId="0" fillId="0" borderId="3" xfId="0" applyNumberFormat="1" applyFont="1" applyBorder="1"/>
    <xf numFmtId="0" fontId="0" fillId="0" borderId="3" xfId="0" applyFont="1" applyBorder="1"/>
    <xf numFmtId="0" fontId="3" fillId="0" borderId="0" xfId="0" applyFont="1" applyAlignment="1">
      <alignment vertical="center"/>
    </xf>
    <xf numFmtId="0" fontId="4" fillId="0" borderId="0" xfId="0" applyFont="1" applyAlignment="1">
      <alignment vertical="center"/>
    </xf>
    <xf numFmtId="0" fontId="4" fillId="0" borderId="0" xfId="0" applyFont="1"/>
    <xf numFmtId="0" fontId="0" fillId="0" borderId="0" xfId="0" applyAlignment="1">
      <alignment wrapText="1"/>
    </xf>
    <xf numFmtId="0" fontId="0" fillId="3" borderId="3" xfId="0" applyFont="1" applyFill="1" applyBorder="1"/>
    <xf numFmtId="0" fontId="4" fillId="0" borderId="0" xfId="0" applyFont="1" applyAlignment="1">
      <alignment vertical="center" wrapText="1"/>
    </xf>
    <xf numFmtId="0" fontId="0" fillId="0" borderId="0" xfId="0" pivotButton="1"/>
    <xf numFmtId="0" fontId="0" fillId="0" borderId="0" xfId="0" applyAlignment="1">
      <alignment horizontal="left"/>
    </xf>
  </cellXfs>
  <cellStyles count="1">
    <cellStyle name="Normal" xfId="0" builtinId="0"/>
  </cellStyles>
  <dxfs count="20">
    <dxf>
      <font>
        <b/>
        <i val="0"/>
        <strike val="0"/>
        <condense val="0"/>
        <extend val="0"/>
        <outline val="0"/>
        <shadow val="0"/>
        <u val="none"/>
        <vertAlign val="baseline"/>
        <sz val="11"/>
        <color theme="0"/>
        <name val="Aptos Narrow"/>
        <family val="2"/>
        <scheme val="minor"/>
      </font>
      <fill>
        <patternFill patternType="solid">
          <fgColor theme="9"/>
          <bgColor theme="9"/>
        </patternFill>
      </fill>
    </dxf>
    <dxf>
      <border outline="0">
        <top style="thin">
          <color theme="9" tint="0.39997558519241921"/>
        </top>
      </border>
    </dxf>
    <dxf>
      <border outline="0">
        <bottom style="thin">
          <color theme="9" tint="0.39997558519241921"/>
        </bottom>
      </border>
    </dxf>
    <dxf>
      <border outline="0">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Aptos Narrow"/>
        <family val="2"/>
        <scheme val="minor"/>
      </font>
      <fill>
        <patternFill patternType="solid">
          <fgColor theme="9"/>
          <bgColor theme="9"/>
        </patternFill>
      </fill>
    </dxf>
    <dxf>
      <border outline="0">
        <top style="thin">
          <color theme="9" tint="0.39997558519241921"/>
        </top>
      </border>
    </dxf>
    <dxf>
      <border outline="0">
        <bottom style="thin">
          <color theme="9" tint="0.39997558519241921"/>
        </bottom>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Aptos Narrow"/>
        <family val="2"/>
        <scheme val="minor"/>
      </font>
      <fill>
        <patternFill patternType="solid">
          <fgColor theme="9"/>
          <bgColor theme="9"/>
        </patternFill>
      </fill>
    </dxf>
    <dxf>
      <border outline="0">
        <top style="thin">
          <color theme="9" tint="0.39997558519241921"/>
        </top>
      </border>
    </dxf>
    <dxf>
      <border outline="0">
        <bottom style="thin">
          <color theme="9" tint="0.39997558519241921"/>
        </bottom>
      </border>
    </dxf>
    <dxf>
      <border outline="0">
        <left style="thin">
          <color theme="9" tint="0.39997558519241921"/>
        </left>
        <top style="thin">
          <color theme="9" tint="0.39997558519241921"/>
        </top>
        <bottom style="thin">
          <color theme="9" tint="0.39997558519241921"/>
        </bottom>
      </border>
    </dxf>
    <dxf>
      <font>
        <b/>
        <i val="0"/>
        <strike val="0"/>
        <condense val="0"/>
        <extend val="0"/>
        <outline val="0"/>
        <shadow val="0"/>
        <u val="none"/>
        <vertAlign val="baseline"/>
        <sz val="11"/>
        <color theme="0"/>
        <name val="Aptos Narrow"/>
        <family val="2"/>
        <scheme val="minor"/>
      </font>
      <fill>
        <patternFill patternType="solid">
          <fgColor theme="9"/>
          <bgColor theme="9"/>
        </patternFill>
      </fill>
    </dxf>
    <dxf>
      <border outline="0">
        <top style="thin">
          <color theme="9" tint="0.39997558519241921"/>
        </top>
      </border>
    </dxf>
    <dxf>
      <border outline="0">
        <bottom style="thin">
          <color theme="9" tint="0.39997558519241921"/>
        </bottom>
      </border>
    </dxf>
    <dxf>
      <border outline="0">
        <left style="thin">
          <color theme="9" tint="0.39997558519241921"/>
        </left>
        <right style="thin">
          <color theme="9" tint="0.39997558519241921"/>
        </right>
        <top style="thin">
          <color theme="9" tint="0.39997558519241921"/>
        </top>
        <bottom style="thin">
          <color theme="9" tint="0.39997558519241921"/>
        </bottom>
      </border>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Average Review Score by Delivery Delay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'Mission_4E Pivots'!$B$3</c:f>
              <c:strCache>
                <c:ptCount val="1"/>
                <c:pt idx="0">
                  <c:v>avg_review_score_per_order</c:v>
                </c:pt>
              </c:strCache>
            </c:strRef>
          </c:tx>
          <c:spPr>
            <a:solidFill>
              <a:schemeClr val="accent1"/>
            </a:solidFill>
            <a:ln>
              <a:noFill/>
            </a:ln>
            <a:effectLst/>
          </c:spPr>
          <c:invertIfNegative val="0"/>
          <c:cat>
            <c:strRef>
              <c:f>'Mission_4E Pivots'!$A$4:$A$7</c:f>
              <c:strCache>
                <c:ptCount val="4"/>
                <c:pt idx="0">
                  <c:v>On time or early</c:v>
                </c:pt>
                <c:pt idx="1">
                  <c:v>1-7 days late</c:v>
                </c:pt>
                <c:pt idx="2">
                  <c:v>8-30 days late</c:v>
                </c:pt>
                <c:pt idx="3">
                  <c:v>&gt;30 days late</c:v>
                </c:pt>
              </c:strCache>
            </c:strRef>
          </c:cat>
          <c:val>
            <c:numRef>
              <c:f>'Mission_4E Pivots'!$B$4:$B$7</c:f>
              <c:numCache>
                <c:formatCode>General</c:formatCode>
                <c:ptCount val="4"/>
                <c:pt idx="0">
                  <c:v>4.29</c:v>
                </c:pt>
                <c:pt idx="1">
                  <c:v>2.72</c:v>
                </c:pt>
                <c:pt idx="2">
                  <c:v>1.65</c:v>
                </c:pt>
                <c:pt idx="3">
                  <c:v>2.06</c:v>
                </c:pt>
              </c:numCache>
            </c:numRef>
          </c:val>
          <c:extLst>
            <c:ext xmlns:c16="http://schemas.microsoft.com/office/drawing/2014/chart" uri="{C3380CC4-5D6E-409C-BE32-E72D297353CC}">
              <c16:uniqueId val="{00000000-28B1-4DC3-9E80-0B049A090326}"/>
            </c:ext>
          </c:extLst>
        </c:ser>
        <c:dLbls>
          <c:showLegendKey val="0"/>
          <c:showVal val="0"/>
          <c:showCatName val="0"/>
          <c:showSerName val="0"/>
          <c:showPercent val="0"/>
          <c:showBubbleSize val="0"/>
        </c:dLbls>
        <c:gapWidth val="219"/>
        <c:overlap val="-27"/>
        <c:axId val="1233759504"/>
        <c:axId val="1233756144"/>
      </c:barChart>
      <c:catAx>
        <c:axId val="1233759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3756144"/>
        <c:crosses val="autoZero"/>
        <c:auto val="1"/>
        <c:lblAlgn val="ctr"/>
        <c:lblOffset val="100"/>
        <c:noMultiLvlLbl val="0"/>
      </c:catAx>
      <c:valAx>
        <c:axId val="1233756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3759504"/>
        <c:crosses val="autoZero"/>
        <c:crossBetween val="between"/>
        <c:majorUnit val="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Review-Score Distribution by Delivery Delay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percentStacked"/>
        <c:varyColors val="0"/>
        <c:ser>
          <c:idx val="0"/>
          <c:order val="0"/>
          <c:tx>
            <c:strRef>
              <c:f>'Mission_4E Pivots'!$B$30</c:f>
              <c:strCache>
                <c:ptCount val="1"/>
                <c:pt idx="0">
                  <c:v>low_score_1_orders</c:v>
                </c:pt>
              </c:strCache>
            </c:strRef>
          </c:tx>
          <c:spPr>
            <a:solidFill>
              <a:schemeClr val="accent1"/>
            </a:solidFill>
            <a:ln>
              <a:noFill/>
            </a:ln>
            <a:effectLst/>
          </c:spPr>
          <c:invertIfNegative val="0"/>
          <c:cat>
            <c:strRef>
              <c:f>'Mission_4E Pivots'!$A$31:$A$34</c:f>
              <c:strCache>
                <c:ptCount val="4"/>
                <c:pt idx="0">
                  <c:v>On time or early</c:v>
                </c:pt>
                <c:pt idx="1">
                  <c:v>1-7 days late</c:v>
                </c:pt>
                <c:pt idx="2">
                  <c:v>8-30 days late</c:v>
                </c:pt>
                <c:pt idx="3">
                  <c:v>&gt;30 days late</c:v>
                </c:pt>
              </c:strCache>
            </c:strRef>
          </c:cat>
          <c:val>
            <c:numRef>
              <c:f>'Mission_4E Pivots'!$B$31:$B$34</c:f>
              <c:numCache>
                <c:formatCode>General</c:formatCode>
                <c:ptCount val="4"/>
                <c:pt idx="0">
                  <c:v>5893</c:v>
                </c:pt>
                <c:pt idx="1">
                  <c:v>1487</c:v>
                </c:pt>
                <c:pt idx="2">
                  <c:v>1732</c:v>
                </c:pt>
                <c:pt idx="3">
                  <c:v>208</c:v>
                </c:pt>
              </c:numCache>
            </c:numRef>
          </c:val>
          <c:extLst>
            <c:ext xmlns:c16="http://schemas.microsoft.com/office/drawing/2014/chart" uri="{C3380CC4-5D6E-409C-BE32-E72D297353CC}">
              <c16:uniqueId val="{00000000-437F-49B8-B9DD-22904F6211AA}"/>
            </c:ext>
          </c:extLst>
        </c:ser>
        <c:ser>
          <c:idx val="1"/>
          <c:order val="1"/>
          <c:tx>
            <c:strRef>
              <c:f>'Mission_4E Pivots'!$C$30</c:f>
              <c:strCache>
                <c:ptCount val="1"/>
                <c:pt idx="0">
                  <c:v>low_score_2_orders</c:v>
                </c:pt>
              </c:strCache>
            </c:strRef>
          </c:tx>
          <c:spPr>
            <a:solidFill>
              <a:schemeClr val="accent2"/>
            </a:solidFill>
            <a:ln>
              <a:noFill/>
            </a:ln>
            <a:effectLst/>
          </c:spPr>
          <c:invertIfNegative val="0"/>
          <c:cat>
            <c:strRef>
              <c:f>'Mission_4E Pivots'!$A$31:$A$34</c:f>
              <c:strCache>
                <c:ptCount val="4"/>
                <c:pt idx="0">
                  <c:v>On time or early</c:v>
                </c:pt>
                <c:pt idx="1">
                  <c:v>1-7 days late</c:v>
                </c:pt>
                <c:pt idx="2">
                  <c:v>8-30 days late</c:v>
                </c:pt>
                <c:pt idx="3">
                  <c:v>&gt;30 days late</c:v>
                </c:pt>
              </c:strCache>
            </c:strRef>
          </c:cat>
          <c:val>
            <c:numRef>
              <c:f>'Mission_4E Pivots'!$C$31:$C$34</c:f>
              <c:numCache>
                <c:formatCode>General</c:formatCode>
                <c:ptCount val="4"/>
                <c:pt idx="0">
                  <c:v>2389</c:v>
                </c:pt>
                <c:pt idx="1">
                  <c:v>290</c:v>
                </c:pt>
                <c:pt idx="2">
                  <c:v>251</c:v>
                </c:pt>
                <c:pt idx="3">
                  <c:v>16</c:v>
                </c:pt>
              </c:numCache>
            </c:numRef>
          </c:val>
          <c:extLst>
            <c:ext xmlns:c16="http://schemas.microsoft.com/office/drawing/2014/chart" uri="{C3380CC4-5D6E-409C-BE32-E72D297353CC}">
              <c16:uniqueId val="{00000001-437F-49B8-B9DD-22904F6211AA}"/>
            </c:ext>
          </c:extLst>
        </c:ser>
        <c:ser>
          <c:idx val="2"/>
          <c:order val="2"/>
          <c:tx>
            <c:strRef>
              <c:f>'Mission_4E Pivots'!$D$30</c:f>
              <c:strCache>
                <c:ptCount val="1"/>
                <c:pt idx="0">
                  <c:v>mid_score_orders</c:v>
                </c:pt>
              </c:strCache>
            </c:strRef>
          </c:tx>
          <c:spPr>
            <a:solidFill>
              <a:schemeClr val="accent3"/>
            </a:solidFill>
            <a:ln>
              <a:noFill/>
            </a:ln>
            <a:effectLst/>
          </c:spPr>
          <c:invertIfNegative val="0"/>
          <c:cat>
            <c:strRef>
              <c:f>'Mission_4E Pivots'!$A$31:$A$34</c:f>
              <c:strCache>
                <c:ptCount val="4"/>
                <c:pt idx="0">
                  <c:v>On time or early</c:v>
                </c:pt>
                <c:pt idx="1">
                  <c:v>1-7 days late</c:v>
                </c:pt>
                <c:pt idx="2">
                  <c:v>8-30 days late</c:v>
                </c:pt>
                <c:pt idx="3">
                  <c:v>&gt;30 days late</c:v>
                </c:pt>
              </c:strCache>
            </c:strRef>
          </c:cat>
          <c:val>
            <c:numRef>
              <c:f>'Mission_4E Pivots'!$D$31:$D$34</c:f>
              <c:numCache>
                <c:formatCode>General</c:formatCode>
                <c:ptCount val="4"/>
                <c:pt idx="0">
                  <c:v>7248</c:v>
                </c:pt>
                <c:pt idx="1">
                  <c:v>444</c:v>
                </c:pt>
                <c:pt idx="2">
                  <c:v>218</c:v>
                </c:pt>
                <c:pt idx="3">
                  <c:v>29</c:v>
                </c:pt>
              </c:numCache>
            </c:numRef>
          </c:val>
          <c:extLst>
            <c:ext xmlns:c16="http://schemas.microsoft.com/office/drawing/2014/chart" uri="{C3380CC4-5D6E-409C-BE32-E72D297353CC}">
              <c16:uniqueId val="{00000002-437F-49B8-B9DD-22904F6211AA}"/>
            </c:ext>
          </c:extLst>
        </c:ser>
        <c:ser>
          <c:idx val="3"/>
          <c:order val="3"/>
          <c:tx>
            <c:strRef>
              <c:f>'Mission_4E Pivots'!$E$30</c:f>
              <c:strCache>
                <c:ptCount val="1"/>
                <c:pt idx="0">
                  <c:v>high_score_orders</c:v>
                </c:pt>
              </c:strCache>
            </c:strRef>
          </c:tx>
          <c:spPr>
            <a:solidFill>
              <a:schemeClr val="accent4"/>
            </a:solidFill>
            <a:ln>
              <a:noFill/>
            </a:ln>
            <a:effectLst/>
          </c:spPr>
          <c:invertIfNegative val="0"/>
          <c:cat>
            <c:strRef>
              <c:f>'Mission_4E Pivots'!$A$31:$A$34</c:f>
              <c:strCache>
                <c:ptCount val="4"/>
                <c:pt idx="0">
                  <c:v>On time or early</c:v>
                </c:pt>
                <c:pt idx="1">
                  <c:v>1-7 days late</c:v>
                </c:pt>
                <c:pt idx="2">
                  <c:v>8-30 days late</c:v>
                </c:pt>
                <c:pt idx="3">
                  <c:v>&gt;30 days late</c:v>
                </c:pt>
              </c:strCache>
            </c:strRef>
          </c:cat>
          <c:val>
            <c:numRef>
              <c:f>'Mission_4E Pivots'!$E$31:$E$34</c:f>
              <c:numCache>
                <c:formatCode>General</c:formatCode>
                <c:ptCount val="4"/>
                <c:pt idx="0">
                  <c:v>18271</c:v>
                </c:pt>
                <c:pt idx="1">
                  <c:v>519</c:v>
                </c:pt>
                <c:pt idx="2">
                  <c:v>101</c:v>
                </c:pt>
                <c:pt idx="3">
                  <c:v>31</c:v>
                </c:pt>
              </c:numCache>
            </c:numRef>
          </c:val>
          <c:extLst>
            <c:ext xmlns:c16="http://schemas.microsoft.com/office/drawing/2014/chart" uri="{C3380CC4-5D6E-409C-BE32-E72D297353CC}">
              <c16:uniqueId val="{00000003-437F-49B8-B9DD-22904F6211AA}"/>
            </c:ext>
          </c:extLst>
        </c:ser>
        <c:ser>
          <c:idx val="4"/>
          <c:order val="4"/>
          <c:tx>
            <c:strRef>
              <c:f>'Mission_4E Pivots'!$F$30</c:f>
              <c:strCache>
                <c:ptCount val="1"/>
                <c:pt idx="0">
                  <c:v>top_score_orders</c:v>
                </c:pt>
              </c:strCache>
            </c:strRef>
          </c:tx>
          <c:spPr>
            <a:solidFill>
              <a:schemeClr val="accent5"/>
            </a:solidFill>
            <a:ln>
              <a:noFill/>
            </a:ln>
            <a:effectLst/>
          </c:spPr>
          <c:invertIfNegative val="0"/>
          <c:cat>
            <c:strRef>
              <c:f>'Mission_4E Pivots'!$A$31:$A$34</c:f>
              <c:strCache>
                <c:ptCount val="4"/>
                <c:pt idx="0">
                  <c:v>On time or early</c:v>
                </c:pt>
                <c:pt idx="1">
                  <c:v>1-7 days late</c:v>
                </c:pt>
                <c:pt idx="2">
                  <c:v>8-30 days late</c:v>
                </c:pt>
                <c:pt idx="3">
                  <c:v>&gt;30 days late</c:v>
                </c:pt>
              </c:strCache>
            </c:strRef>
          </c:cat>
          <c:val>
            <c:numRef>
              <c:f>'Mission_4E Pivots'!$F$31:$F$34</c:f>
              <c:numCache>
                <c:formatCode>General</c:formatCode>
                <c:ptCount val="4"/>
                <c:pt idx="0">
                  <c:v>55642</c:v>
                </c:pt>
                <c:pt idx="1">
                  <c:v>860</c:v>
                </c:pt>
                <c:pt idx="2">
                  <c:v>150</c:v>
                </c:pt>
                <c:pt idx="3">
                  <c:v>45</c:v>
                </c:pt>
              </c:numCache>
            </c:numRef>
          </c:val>
          <c:extLst>
            <c:ext xmlns:c16="http://schemas.microsoft.com/office/drawing/2014/chart" uri="{C3380CC4-5D6E-409C-BE32-E72D297353CC}">
              <c16:uniqueId val="{00000004-437F-49B8-B9DD-22904F6211AA}"/>
            </c:ext>
          </c:extLst>
        </c:ser>
        <c:dLbls>
          <c:showLegendKey val="0"/>
          <c:showVal val="0"/>
          <c:showCatName val="0"/>
          <c:showSerName val="0"/>
          <c:showPercent val="0"/>
          <c:showBubbleSize val="0"/>
        </c:dLbls>
        <c:gapWidth val="150"/>
        <c:overlap val="100"/>
        <c:axId val="1536961456"/>
        <c:axId val="1536966256"/>
      </c:barChart>
      <c:catAx>
        <c:axId val="1536961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6966256"/>
        <c:crosses val="autoZero"/>
        <c:auto val="1"/>
        <c:lblAlgn val="ctr"/>
        <c:lblOffset val="100"/>
        <c:noMultiLvlLbl val="0"/>
      </c:catAx>
      <c:valAx>
        <c:axId val="153696625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69614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Written-Comment Rate by Delivery Delay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'Mission_4E Pivots'!$B$56</c:f>
              <c:strCache>
                <c:ptCount val="1"/>
                <c:pt idx="0">
                  <c:v>written_comment_rate_pct</c:v>
                </c:pt>
              </c:strCache>
            </c:strRef>
          </c:tx>
          <c:spPr>
            <a:solidFill>
              <a:schemeClr val="accent1"/>
            </a:solidFill>
            <a:ln>
              <a:noFill/>
            </a:ln>
            <a:effectLst/>
          </c:spPr>
          <c:invertIfNegative val="0"/>
          <c:cat>
            <c:strRef>
              <c:f>'Mission_4E Pivots'!$A$57:$A$60</c:f>
              <c:strCache>
                <c:ptCount val="4"/>
                <c:pt idx="0">
                  <c:v>On time or early</c:v>
                </c:pt>
                <c:pt idx="1">
                  <c:v>1-7 days late</c:v>
                </c:pt>
                <c:pt idx="2">
                  <c:v>8-30 days late</c:v>
                </c:pt>
                <c:pt idx="3">
                  <c:v>&gt;30 days late</c:v>
                </c:pt>
              </c:strCache>
            </c:strRef>
          </c:cat>
          <c:val>
            <c:numRef>
              <c:f>'Mission_4E Pivots'!$B$57:$B$60</c:f>
              <c:numCache>
                <c:formatCode>General</c:formatCode>
                <c:ptCount val="4"/>
                <c:pt idx="0">
                  <c:v>40.93</c:v>
                </c:pt>
                <c:pt idx="1">
                  <c:v>54.14</c:v>
                </c:pt>
                <c:pt idx="2">
                  <c:v>64.44</c:v>
                </c:pt>
                <c:pt idx="3">
                  <c:v>65.510000000000005</c:v>
                </c:pt>
              </c:numCache>
            </c:numRef>
          </c:val>
          <c:extLst>
            <c:ext xmlns:c16="http://schemas.microsoft.com/office/drawing/2014/chart" uri="{C3380CC4-5D6E-409C-BE32-E72D297353CC}">
              <c16:uniqueId val="{00000000-2C5A-401A-AC23-A66FC573FDEF}"/>
            </c:ext>
          </c:extLst>
        </c:ser>
        <c:dLbls>
          <c:showLegendKey val="0"/>
          <c:showVal val="0"/>
          <c:showCatName val="0"/>
          <c:showSerName val="0"/>
          <c:showPercent val="0"/>
          <c:showBubbleSize val="0"/>
        </c:dLbls>
        <c:gapWidth val="219"/>
        <c:overlap val="-27"/>
        <c:axId val="1233719184"/>
        <c:axId val="1233723024"/>
      </c:barChart>
      <c:catAx>
        <c:axId val="1233719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3723024"/>
        <c:crosses val="autoZero"/>
        <c:auto val="1"/>
        <c:lblAlgn val="ctr"/>
        <c:lblOffset val="100"/>
        <c:noMultiLvlLbl val="0"/>
      </c:catAx>
      <c:valAx>
        <c:axId val="1233723024"/>
        <c:scaling>
          <c:orientation val="minMax"/>
          <c:max val="1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3719184"/>
        <c:crosses val="autoZero"/>
        <c:crossBetween val="between"/>
        <c:majorUnit val="2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Percentage of Written Reviews with Issue Flags by Rating Group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'Mission_4E Pivots'!$A$83</c:f>
              <c:strCache>
                <c:ptCount val="1"/>
                <c:pt idx="0">
                  <c:v>total_review_records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'Mission_4E Pivots'!$A$84:$A$86</c:f>
              <c:numCache>
                <c:formatCode>General</c:formatCode>
                <c:ptCount val="3"/>
                <c:pt idx="0">
                  <c:v>14575</c:v>
                </c:pt>
                <c:pt idx="1">
                  <c:v>8179</c:v>
                </c:pt>
                <c:pt idx="2">
                  <c:v>76470</c:v>
                </c:pt>
              </c:numCache>
            </c:numRef>
          </c:val>
          <c:extLst>
            <c:ext xmlns:c16="http://schemas.microsoft.com/office/drawing/2014/chart" uri="{C3380CC4-5D6E-409C-BE32-E72D297353CC}">
              <c16:uniqueId val="{00000000-5EC5-451B-84BA-4AD4C99FCA30}"/>
            </c:ext>
          </c:extLst>
        </c:ser>
        <c:ser>
          <c:idx val="1"/>
          <c:order val="1"/>
          <c:tx>
            <c:strRef>
              <c:f>'Mission_4E Pivots'!$B$83</c:f>
              <c:strCache>
                <c:ptCount val="1"/>
                <c:pt idx="0">
                  <c:v>pct_written_reviews_with_issue_flag</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'Mission_4E Pivots'!$B$84:$B$86</c:f>
              <c:numCache>
                <c:formatCode>General</c:formatCode>
                <c:ptCount val="3"/>
                <c:pt idx="0">
                  <c:v>39.409999999999997</c:v>
                </c:pt>
                <c:pt idx="1">
                  <c:v>16.68</c:v>
                </c:pt>
                <c:pt idx="2">
                  <c:v>4.5</c:v>
                </c:pt>
              </c:numCache>
            </c:numRef>
          </c:val>
          <c:extLst>
            <c:ext xmlns:c16="http://schemas.microsoft.com/office/drawing/2014/chart" uri="{C3380CC4-5D6E-409C-BE32-E72D297353CC}">
              <c16:uniqueId val="{00000001-5EC5-451B-84BA-4AD4C99FCA30}"/>
            </c:ext>
          </c:extLst>
        </c:ser>
        <c:dLbls>
          <c:dLblPos val="outEnd"/>
          <c:showLegendKey val="0"/>
          <c:showVal val="1"/>
          <c:showCatName val="0"/>
          <c:showSerName val="0"/>
          <c:showPercent val="0"/>
          <c:showBubbleSize val="0"/>
        </c:dLbls>
        <c:gapWidth val="219"/>
        <c:overlap val="-27"/>
        <c:axId val="19560464"/>
        <c:axId val="19560944"/>
      </c:barChart>
      <c:catAx>
        <c:axId val="19560464"/>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60944"/>
        <c:crosses val="autoZero"/>
        <c:auto val="1"/>
        <c:lblAlgn val="ctr"/>
        <c:lblOffset val="100"/>
        <c:noMultiLvlLbl val="0"/>
      </c:catAx>
      <c:valAx>
        <c:axId val="19560944"/>
        <c:scaling>
          <c:orientation val="minMax"/>
          <c:max val="1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60464"/>
        <c:crosses val="autoZero"/>
        <c:crossBetween val="between"/>
        <c:majorUnit val="2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[Mission_4E_Customer_Reviews.xlsx]Mission_4E Pivots!PivotTable1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Written vs. Unwritten Reviews by Rating Group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'Mission_4E Pivots'!$B$108</c:f>
              <c:strCache>
                <c:ptCount val="1"/>
                <c:pt idx="0">
                  <c:v>Sum of written_review_records</c:v>
                </c:pt>
              </c:strCache>
            </c:strRef>
          </c:tx>
          <c:spPr>
            <a:solidFill>
              <a:schemeClr val="accent1"/>
            </a:solidFill>
            <a:ln>
              <a:noFill/>
            </a:ln>
            <a:effectLst/>
          </c:spPr>
          <c:invertIfNegative val="0"/>
          <c:cat>
            <c:strRef>
              <c:f>'Mission_4E Pivots'!$A$109:$A$112</c:f>
              <c:strCache>
                <c:ptCount val="3"/>
                <c:pt idx="0">
                  <c:v>High score (4-5)</c:v>
                </c:pt>
                <c:pt idx="1">
                  <c:v>Low score (1-2)</c:v>
                </c:pt>
                <c:pt idx="2">
                  <c:v>Middle score (3)</c:v>
                </c:pt>
              </c:strCache>
            </c:strRef>
          </c:cat>
          <c:val>
            <c:numRef>
              <c:f>'Mission_4E Pivots'!$B$109:$B$112</c:f>
              <c:numCache>
                <c:formatCode>General</c:formatCode>
                <c:ptCount val="3"/>
                <c:pt idx="0">
                  <c:v>28059</c:v>
                </c:pt>
                <c:pt idx="1">
                  <c:v>10994</c:v>
                </c:pt>
                <c:pt idx="2">
                  <c:v>3644</c:v>
                </c:pt>
              </c:numCache>
            </c:numRef>
          </c:val>
          <c:extLst>
            <c:ext xmlns:c16="http://schemas.microsoft.com/office/drawing/2014/chart" uri="{C3380CC4-5D6E-409C-BE32-E72D297353CC}">
              <c16:uniqueId val="{00000000-D15A-402C-882A-838438A092A4}"/>
            </c:ext>
          </c:extLst>
        </c:ser>
        <c:ser>
          <c:idx val="1"/>
          <c:order val="1"/>
          <c:tx>
            <c:strRef>
              <c:f>'Mission_4E Pivots'!$C$108</c:f>
              <c:strCache>
                <c:ptCount val="1"/>
                <c:pt idx="0">
                  <c:v>Sum of reviews_without_written_comments</c:v>
                </c:pt>
              </c:strCache>
            </c:strRef>
          </c:tx>
          <c:spPr>
            <a:solidFill>
              <a:schemeClr val="accent2"/>
            </a:solidFill>
            <a:ln>
              <a:noFill/>
            </a:ln>
            <a:effectLst/>
          </c:spPr>
          <c:invertIfNegative val="0"/>
          <c:cat>
            <c:strRef>
              <c:f>'Mission_4E Pivots'!$A$109:$A$112</c:f>
              <c:strCache>
                <c:ptCount val="3"/>
                <c:pt idx="0">
                  <c:v>High score (4-5)</c:v>
                </c:pt>
                <c:pt idx="1">
                  <c:v>Low score (1-2)</c:v>
                </c:pt>
                <c:pt idx="2">
                  <c:v>Middle score (3)</c:v>
                </c:pt>
              </c:strCache>
            </c:strRef>
          </c:cat>
          <c:val>
            <c:numRef>
              <c:f>'Mission_4E Pivots'!$C$109:$C$112</c:f>
              <c:numCache>
                <c:formatCode>General</c:formatCode>
                <c:ptCount val="3"/>
                <c:pt idx="0">
                  <c:v>48411</c:v>
                </c:pt>
                <c:pt idx="1">
                  <c:v>3581</c:v>
                </c:pt>
                <c:pt idx="2">
                  <c:v>4535</c:v>
                </c:pt>
              </c:numCache>
            </c:numRef>
          </c:val>
          <c:extLst>
            <c:ext xmlns:c16="http://schemas.microsoft.com/office/drawing/2014/chart" uri="{C3380CC4-5D6E-409C-BE32-E72D297353CC}">
              <c16:uniqueId val="{00000001-D15A-402C-882A-838438A092A4}"/>
            </c:ext>
          </c:extLst>
        </c:ser>
        <c:dLbls>
          <c:showLegendKey val="0"/>
          <c:showVal val="0"/>
          <c:showCatName val="0"/>
          <c:showSerName val="0"/>
          <c:showPercent val="0"/>
          <c:showBubbleSize val="0"/>
        </c:dLbls>
        <c:gapWidth val="219"/>
        <c:overlap val="-27"/>
        <c:axId val="1536890416"/>
        <c:axId val="1536888016"/>
      </c:barChart>
      <c:catAx>
        <c:axId val="1536890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6888016"/>
        <c:crosses val="autoZero"/>
        <c:auto val="1"/>
        <c:lblAlgn val="ctr"/>
        <c:lblOffset val="100"/>
        <c:noMultiLvlLbl val="0"/>
      </c:catAx>
      <c:valAx>
        <c:axId val="15368880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6890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60960</xdr:colOff>
      <xdr:row>9</xdr:row>
      <xdr:rowOff>34290</xdr:rowOff>
    </xdr:from>
    <xdr:to>
      <xdr:col>5</xdr:col>
      <xdr:colOff>167640</xdr:colOff>
      <xdr:row>24</xdr:row>
      <xdr:rowOff>34290</xdr:rowOff>
    </xdr:to>
    <xdr:graphicFrame macro="">
      <xdr:nvGraphicFramePr>
        <xdr:cNvPr id="3" name="Chart 2">
          <a:extLst>
            <a:ext uri="{FF2B5EF4-FFF2-40B4-BE49-F238E27FC236}">
              <a16:creationId xmlns:a16="http://schemas.microsoft.com/office/drawing/2014/main" id="{ED83E617-B59A-1052-B583-363D4D6579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76200</xdr:colOff>
      <xdr:row>35</xdr:row>
      <xdr:rowOff>87630</xdr:rowOff>
    </xdr:from>
    <xdr:to>
      <xdr:col>3</xdr:col>
      <xdr:colOff>632460</xdr:colOff>
      <xdr:row>50</xdr:row>
      <xdr:rowOff>87630</xdr:rowOff>
    </xdr:to>
    <xdr:graphicFrame macro="">
      <xdr:nvGraphicFramePr>
        <xdr:cNvPr id="4" name="Chart 3">
          <a:extLst>
            <a:ext uri="{FF2B5EF4-FFF2-40B4-BE49-F238E27FC236}">
              <a16:creationId xmlns:a16="http://schemas.microsoft.com/office/drawing/2014/main" id="{293DD940-C1D5-D3CD-2936-9B6AA2663E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45720</xdr:colOff>
      <xdr:row>61</xdr:row>
      <xdr:rowOff>87630</xdr:rowOff>
    </xdr:from>
    <xdr:to>
      <xdr:col>3</xdr:col>
      <xdr:colOff>601980</xdr:colOff>
      <xdr:row>76</xdr:row>
      <xdr:rowOff>87630</xdr:rowOff>
    </xdr:to>
    <xdr:graphicFrame macro="">
      <xdr:nvGraphicFramePr>
        <xdr:cNvPr id="5" name="Chart 4">
          <a:extLst>
            <a:ext uri="{FF2B5EF4-FFF2-40B4-BE49-F238E27FC236}">
              <a16:creationId xmlns:a16="http://schemas.microsoft.com/office/drawing/2014/main" id="{6D4BF990-9B56-63C0-2617-64B0A8612D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30480</xdr:colOff>
      <xdr:row>87</xdr:row>
      <xdr:rowOff>156210</xdr:rowOff>
    </xdr:from>
    <xdr:to>
      <xdr:col>2</xdr:col>
      <xdr:colOff>982980</xdr:colOff>
      <xdr:row>102</xdr:row>
      <xdr:rowOff>156210</xdr:rowOff>
    </xdr:to>
    <xdr:graphicFrame macro="">
      <xdr:nvGraphicFramePr>
        <xdr:cNvPr id="6" name="Chart 5">
          <a:extLst>
            <a:ext uri="{FF2B5EF4-FFF2-40B4-BE49-F238E27FC236}">
              <a16:creationId xmlns:a16="http://schemas.microsoft.com/office/drawing/2014/main" id="{A8B30C04-4E1F-E6EA-1E22-1DFC9B8FF6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22860</xdr:colOff>
      <xdr:row>115</xdr:row>
      <xdr:rowOff>87630</xdr:rowOff>
    </xdr:from>
    <xdr:to>
      <xdr:col>2</xdr:col>
      <xdr:colOff>1821180</xdr:colOff>
      <xdr:row>130</xdr:row>
      <xdr:rowOff>87630</xdr:rowOff>
    </xdr:to>
    <xdr:graphicFrame macro="">
      <xdr:nvGraphicFramePr>
        <xdr:cNvPr id="7" name="Chart 6">
          <a:extLst>
            <a:ext uri="{FF2B5EF4-FFF2-40B4-BE49-F238E27FC236}">
              <a16:creationId xmlns:a16="http://schemas.microsoft.com/office/drawing/2014/main" id="{BAEC3E4A-29BB-CB05-E83A-EBBE9977AC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ya mittal" refreshedDate="46317.776993865744" createdVersion="8" refreshedVersion="8" minRefreshableVersion="3" recordCount="3" xr:uid="{EC51F011-3AE6-4E29-9097-FA3F787CCC3B}">
  <cacheSource type="worksheet">
    <worksheetSource name="phase4e_3_review_population"/>
  </cacheSource>
  <cacheFields count="4">
    <cacheField name="rating_group" numFmtId="0">
      <sharedItems count="3">
        <s v="Low score (1-2)"/>
        <s v="Middle score (3)"/>
        <s v="High score (4-5)"/>
      </sharedItems>
    </cacheField>
    <cacheField name="review_records" numFmtId="0">
      <sharedItems containsSemiMixedTypes="0" containsString="0" containsNumber="1" containsInteger="1" minValue="8179" maxValue="76470"/>
    </cacheField>
    <cacheField name="written_review_records" numFmtId="0">
      <sharedItems containsSemiMixedTypes="0" containsString="0" containsNumber="1" containsInteger="1" minValue="3644" maxValue="28059"/>
    </cacheField>
    <cacheField name="reviews_without_written_comments" numFmtId="0">
      <sharedItems containsSemiMixedTypes="0" containsString="0" containsNumber="1" containsInteger="1" minValue="3581" maxValue="4841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n v="14575"/>
    <n v="10994"/>
    <n v="3581"/>
  </r>
  <r>
    <x v="1"/>
    <n v="8179"/>
    <n v="3644"/>
    <n v="4535"/>
  </r>
  <r>
    <x v="2"/>
    <n v="76470"/>
    <n v="28059"/>
    <n v="484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5AE7103-D51D-4A20-A107-E3D1669AD9E2}"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08:C112" firstHeaderRow="0" firstDataRow="1" firstDataCol="1"/>
  <pivotFields count="4">
    <pivotField axis="axisRow" showAll="0">
      <items count="4">
        <item x="2"/>
        <item x="0"/>
        <item x="1"/>
        <item t="default"/>
      </items>
    </pivotField>
    <pivotField showAll="0"/>
    <pivotField dataField="1" showAll="0"/>
    <pivotField dataField="1" showAll="0"/>
  </pivotFields>
  <rowFields count="1">
    <field x="0"/>
  </rowFields>
  <rowItems count="4">
    <i>
      <x/>
    </i>
    <i>
      <x v="1"/>
    </i>
    <i>
      <x v="2"/>
    </i>
    <i t="grand">
      <x/>
    </i>
  </rowItems>
  <colFields count="1">
    <field x="-2"/>
  </colFields>
  <colItems count="2">
    <i>
      <x/>
    </i>
    <i i="1">
      <x v="1"/>
    </i>
  </colItems>
  <dataFields count="2">
    <dataField name="Sum of written_review_records" fld="2" baseField="0" baseItem="0"/>
    <dataField name="Sum of reviews_without_written_comments" fld="3" baseField="0" baseItem="0"/>
  </dataFields>
  <chartFormats count="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AA8E6C4-524D-44E6-83FB-61DAD651D532}" autoFormatId="16" applyNumberFormats="0" applyBorderFormats="0" applyFontFormats="0" applyPatternFormats="0" applyAlignmentFormats="0" applyWidthHeightFormats="0">
  <queryTableRefresh nextId="9">
    <queryTableFields count="8">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56D3B94C-4CDE-40DE-91F0-78192FD728D2}" autoFormatId="16" applyNumberFormats="0" applyBorderFormats="0" applyFontFormats="0" applyPatternFormats="0" applyAlignmentFormats="0" applyWidthHeightFormats="0">
  <queryTableRefresh nextId="6">
    <queryTableFields count="5">
      <queryTableField id="1" name="Column1" tableColumnId="1"/>
      <queryTableField id="2" name="Column2" tableColumnId="2"/>
      <queryTableField id="3" name="Column3" tableColumnId="3"/>
      <queryTableField id="4" name="Column4" tableColumnId="4"/>
      <queryTableField id="5" name="Column5" tableColumnId="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8F06E77A-D0A7-48D3-843E-A79A362AE936}" autoFormatId="16" applyNumberFormats="0" applyBorderFormats="0" applyFontFormats="0" applyPatternFormats="0" applyAlignmentFormats="0" applyWidthHeightFormats="0">
  <queryTableRefresh nextId="5">
    <queryTableFields count="4">
      <queryTableField id="1" name="Column1" tableColumnId="1"/>
      <queryTableField id="2" name="Column2" tableColumnId="2"/>
      <queryTableField id="3" name="Column3" tableColumnId="3"/>
      <queryTableField id="4" name="Column4" tableColumnId="4"/>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4" xr16:uid="{3F9C2B80-DEDF-4C6E-9989-20CCAF050B09}" autoFormatId="16" applyNumberFormats="0" applyBorderFormats="0" applyFontFormats="0" applyPatternFormats="0" applyAlignmentFormats="0" applyWidthHeightFormats="0">
  <queryTableRefresh nextId="8">
    <queryTableFields count="7">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0B69149-4FA9-4BFA-A88B-57BE97B44A14}" name="phase4e_1_delivery_vs_reviews" displayName="phase4e_1_delivery_vs_reviews" ref="A1:H5" tableType="queryTable" totalsRowShown="0">
  <autoFilter ref="A1:H5" xr:uid="{50B69149-4FA9-4BFA-A88B-57BE97B44A14}"/>
  <tableColumns count="8">
    <tableColumn id="1" xr3:uid="{D81FAFB8-352B-4C2A-89FF-3998A8007BD1}" uniqueName="1" name="delay_band" queryTableFieldId="1" dataDxfId="19"/>
    <tableColumn id="2" xr3:uid="{1288E659-F2BB-42C0-BC2F-66ED02984B9A}" uniqueName="2" name="order_count" queryTableFieldId="2"/>
    <tableColumn id="3" xr3:uid="{37270A07-830B-468C-ABDD-6558B9F9C395}" uniqueName="3" name="low_score_1_orders" queryTableFieldId="3"/>
    <tableColumn id="4" xr3:uid="{CBF7BC99-3D5C-4129-912A-31D0CE0A8AE4}" uniqueName="4" name="low_score_2_orders" queryTableFieldId="4"/>
    <tableColumn id="5" xr3:uid="{F6EA6D94-73C7-417C-A9F3-513589B6CB53}" uniqueName="5" name="mid_score_orders" queryTableFieldId="5"/>
    <tableColumn id="6" xr3:uid="{AEFC9062-2094-474C-A512-9BF381533BAD}" uniqueName="6" name="high_score_orders" queryTableFieldId="6"/>
    <tableColumn id="7" xr3:uid="{9156C547-BA86-450C-A1CE-36A6225A2E05}" uniqueName="7" name="top_score_orders" queryTableFieldId="7"/>
    <tableColumn id="8" xr3:uid="{08438603-F1F0-4A56-BE30-254CA93284ED}" uniqueName="8" name="avg_review_score_per_order" queryTableFieldId="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5D6F251-D4C5-4FC8-BA21-2A2794250FB2}" name="phase4e_2_written_comments_by_delay" displayName="phase4e_2_written_comments_by_delay" ref="A1:E5" tableType="queryTable" totalsRowShown="0">
  <autoFilter ref="A1:E5" xr:uid="{A5D6F251-D4C5-4FC8-BA21-2A2794250FB2}"/>
  <tableColumns count="5">
    <tableColumn id="1" xr3:uid="{2AC16437-3B5E-49BA-9FF9-571633345963}" uniqueName="1" name="delay_band" queryTableFieldId="1" dataDxfId="18"/>
    <tableColumn id="2" xr3:uid="{52DA93C7-3079-439C-9D53-A906D7CBBBEB}" uniqueName="2" name="total_orders" queryTableFieldId="2"/>
    <tableColumn id="3" xr3:uid="{2F4B27D1-AC41-4B93-A2DC-A3A89D1B7323}" uniqueName="3" name="orders_with_written_comments" queryTableFieldId="3"/>
    <tableColumn id="4" xr3:uid="{39652164-C995-4E98-A837-D626FCE3CB42}" uniqueName="4" name="orders_without_written_comments" queryTableFieldId="4"/>
    <tableColumn id="5" xr3:uid="{13C87A86-AD73-4D74-8709-95D3C66ED706}" uniqueName="5" name="written_comment_rate_pct" queryTableFieldId="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81AA8C4-8DF2-47AC-94DF-DE0424679748}" name="phase4e_3_review_population" displayName="phase4e_3_review_population" ref="A1:D4" tableType="queryTable" totalsRowShown="0">
  <autoFilter ref="A1:D4" xr:uid="{781AA8C4-8DF2-47AC-94DF-DE0424679748}"/>
  <tableColumns count="4">
    <tableColumn id="1" xr3:uid="{295DBC32-C4A0-4AC3-8F01-FF0C9FEF5959}" uniqueName="1" name="rating_group" queryTableFieldId="1" dataDxfId="17"/>
    <tableColumn id="2" xr3:uid="{A04204E0-625E-4937-87E7-AD56F6532618}" uniqueName="2" name="review_records" queryTableFieldId="2"/>
    <tableColumn id="3" xr3:uid="{B73F71E1-A5F9-4CDD-93E7-42126FEAB31D}" uniqueName="3" name="written_review_records" queryTableFieldId="3"/>
    <tableColumn id="4" xr3:uid="{3C7A1C67-0A4F-4A75-87F4-BC25FC6ACDE8}" uniqueName="4" name="reviews_without_written_comments" queryTableFieldId="4"/>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E707440-BE11-4162-A8B0-FA842636FDF6}" name="phase4e_4_issue_flags_by_rating" displayName="phase4e_4_issue_flags_by_rating" ref="A1:G4" tableType="queryTable" totalsRowShown="0">
  <autoFilter ref="A1:G4" xr:uid="{1E707440-BE11-4162-A8B0-FA842636FDF6}"/>
  <tableColumns count="7">
    <tableColumn id="1" xr3:uid="{3AA67315-11E7-44E0-8ADC-CA75A434C984}" uniqueName="1" name="rating_group" queryTableFieldId="1" dataDxfId="16"/>
    <tableColumn id="2" xr3:uid="{205E4E13-B4DC-4D0F-A226-5D2DEC5DBC02}" uniqueName="2" name="total_review_records" queryTableFieldId="2"/>
    <tableColumn id="3" xr3:uid="{ABBE1EC0-90B2-4BB6-B986-49E7DC0D15FB}" uniqueName="3" name="avg_review_score" queryTableFieldId="3"/>
    <tableColumn id="4" xr3:uid="{99EC8C01-2A22-4E8E-935C-2F6188CCF459}" uniqueName="4" name="written_review_records" queryTableFieldId="4"/>
    <tableColumn id="5" xr3:uid="{222F900F-11AE-446E-B056-2233FBD2E8FD}" uniqueName="5" name="written_comment_pct" queryTableFieldId="5"/>
    <tableColumn id="6" xr3:uid="{7575644B-B47D-4651-8A04-030053EC5BE8}" uniqueName="6" name="written_reviews_with_any_issue_flag" queryTableFieldId="6"/>
    <tableColumn id="7" xr3:uid="{6CCBA1D2-D0AA-4982-8A90-1DE256D95EEC}" uniqueName="7" name="pct_written_reviews_with_issue_flag" queryTableFieldId="7"/>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E2551E0-9B59-4E58-9DEF-73C03BFF125C}" name="Table5" displayName="Table5" ref="A3:B7" totalsRowShown="0" headerRowDxfId="12" headerRowBorderDxfId="14" tableBorderDxfId="15" totalsRowBorderDxfId="13">
  <autoFilter ref="A3:B7" xr:uid="{2E2551E0-9B59-4E58-9DEF-73C03BFF125C}"/>
  <tableColumns count="2">
    <tableColumn id="1" xr3:uid="{668113A9-A104-4984-8A4B-54166C7D7E39}" name="delay_band"/>
    <tableColumn id="2" xr3:uid="{85DD8A32-C2A2-4F7A-B54A-77B70D1461A4}" name="avg_review_score_per_order"/>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1264F7D-4865-4E70-A8E4-E0A75A21C85D}" name="Table6" displayName="Table6" ref="A30:F34" totalsRowShown="0" headerRowDxfId="8" headerRowBorderDxfId="10" tableBorderDxfId="11" totalsRowBorderDxfId="9">
  <autoFilter ref="A30:F34" xr:uid="{21264F7D-4865-4E70-A8E4-E0A75A21C85D}"/>
  <tableColumns count="6">
    <tableColumn id="1" xr3:uid="{FCD9E88C-E6F0-4BB7-A6C4-4F3A8BE4BDF2}" name="delay_band"/>
    <tableColumn id="2" xr3:uid="{1632BBF5-1A2D-48D3-9E05-F64E7536AD1F}" name="low_score_1_orders"/>
    <tableColumn id="3" xr3:uid="{707C850A-973D-44E6-937C-9F6BA90A6FAD}" name="low_score_2_orders"/>
    <tableColumn id="4" xr3:uid="{88B3A049-0F20-4467-B0AA-5C419486D3BB}" name="mid_score_orders"/>
    <tableColumn id="5" xr3:uid="{732737C9-5688-46D1-A43F-5C2CA25F0743}" name="high_score_orders"/>
    <tableColumn id="6" xr3:uid="{BB06E101-2E48-41E8-AFBE-D8ECD4E46E08}" name="top_score_orders"/>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72ABD48-BE0C-4C72-92E5-9E47611C6AA4}" name="Table7" displayName="Table7" ref="A56:B60" totalsRowShown="0" headerRowDxfId="4" headerRowBorderDxfId="6" tableBorderDxfId="7" totalsRowBorderDxfId="5">
  <autoFilter ref="A56:B60" xr:uid="{D72ABD48-BE0C-4C72-92E5-9E47611C6AA4}"/>
  <tableColumns count="2">
    <tableColumn id="1" xr3:uid="{648C1021-50E9-44B7-BFEA-D9A5E7215411}" name="delay_band"/>
    <tableColumn id="2" xr3:uid="{D1D9E49E-AA40-42E8-9DB1-695F5B3BB6F0}" name="written_comment_rate_pct"/>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FB1B64A-FE2D-429D-8E60-C3A4C74851CF}" name="Table8" displayName="Table8" ref="A83:B86" totalsRowShown="0" headerRowDxfId="0" headerRowBorderDxfId="2" tableBorderDxfId="3" totalsRowBorderDxfId="1">
  <autoFilter ref="A83:B86" xr:uid="{4FB1B64A-FE2D-429D-8E60-C3A4C74851CF}"/>
  <tableColumns count="2">
    <tableColumn id="1" xr3:uid="{F856C06C-5B11-40B3-A735-0661F4CD36F1}" name="total_review_records"/>
    <tableColumn id="2" xr3:uid="{55200217-FE2D-4B15-963C-FC1067A4F626}" name="pct_written_reviews_with_issue_fla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1.xml"/><Relationship Id="rId1" Type="http://schemas.openxmlformats.org/officeDocument/2006/relationships/pivotTable" Target="../pivotTables/pivotTable1.xml"/><Relationship Id="rId6" Type="http://schemas.openxmlformats.org/officeDocument/2006/relationships/table" Target="../tables/table8.xml"/><Relationship Id="rId5" Type="http://schemas.openxmlformats.org/officeDocument/2006/relationships/table" Target="../tables/table7.xml"/><Relationship Id="rId4"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F4D9AB-F53C-4F71-A45B-CDA83BEC38D5}">
  <dimension ref="A1:H5"/>
  <sheetViews>
    <sheetView workbookViewId="0">
      <selection activeCell="G1" activeCellId="5" sqref="A1:A5 C1:C5 D1:D5 E1:E5 F1:F5 G1:G5"/>
    </sheetView>
  </sheetViews>
  <sheetFormatPr defaultRowHeight="14.4" x14ac:dyDescent="0.3"/>
  <cols>
    <col min="1" max="1" width="13.5546875" bestFit="1" customWidth="1"/>
    <col min="2" max="2" width="13.109375" bestFit="1" customWidth="1"/>
    <col min="3" max="4" width="19.5546875" bestFit="1" customWidth="1"/>
    <col min="5" max="5" width="18.109375" bestFit="1" customWidth="1"/>
    <col min="6" max="6" width="18.21875" bestFit="1" customWidth="1"/>
    <col min="7" max="7" width="17.5546875" bestFit="1" customWidth="1"/>
    <col min="8" max="8" width="26.6640625" bestFit="1" customWidth="1"/>
  </cols>
  <sheetData>
    <row r="1" spans="1:8" x14ac:dyDescent="0.3">
      <c r="A1" t="s">
        <v>7</v>
      </c>
      <c r="B1" t="s">
        <v>8</v>
      </c>
      <c r="C1" t="s">
        <v>9</v>
      </c>
      <c r="D1" t="s">
        <v>10</v>
      </c>
      <c r="E1" t="s">
        <v>11</v>
      </c>
      <c r="F1" t="s">
        <v>12</v>
      </c>
      <c r="G1" t="s">
        <v>13</v>
      </c>
      <c r="H1" t="s">
        <v>14</v>
      </c>
    </row>
    <row r="2" spans="1:8" x14ac:dyDescent="0.3">
      <c r="A2" s="1" t="s">
        <v>0</v>
      </c>
      <c r="B2">
        <v>89443</v>
      </c>
      <c r="C2">
        <v>5893</v>
      </c>
      <c r="D2">
        <v>2389</v>
      </c>
      <c r="E2">
        <v>7248</v>
      </c>
      <c r="F2">
        <v>18271</v>
      </c>
      <c r="G2">
        <v>55642</v>
      </c>
      <c r="H2">
        <v>4.29</v>
      </c>
    </row>
    <row r="3" spans="1:8" x14ac:dyDescent="0.3">
      <c r="A3" s="1" t="s">
        <v>1</v>
      </c>
      <c r="B3">
        <v>3600</v>
      </c>
      <c r="C3">
        <v>1487</v>
      </c>
      <c r="D3">
        <v>290</v>
      </c>
      <c r="E3">
        <v>444</v>
      </c>
      <c r="F3">
        <v>519</v>
      </c>
      <c r="G3">
        <v>860</v>
      </c>
      <c r="H3">
        <v>2.72</v>
      </c>
    </row>
    <row r="4" spans="1:8" x14ac:dyDescent="0.3">
      <c r="A4" s="1" t="s">
        <v>2</v>
      </c>
      <c r="B4">
        <v>2452</v>
      </c>
      <c r="C4">
        <v>1732</v>
      </c>
      <c r="D4">
        <v>251</v>
      </c>
      <c r="E4">
        <v>218</v>
      </c>
      <c r="F4">
        <v>101</v>
      </c>
      <c r="G4">
        <v>150</v>
      </c>
      <c r="H4">
        <v>1.65</v>
      </c>
    </row>
    <row r="5" spans="1:8" x14ac:dyDescent="0.3">
      <c r="A5" s="1" t="s">
        <v>3</v>
      </c>
      <c r="B5">
        <v>329</v>
      </c>
      <c r="C5">
        <v>208</v>
      </c>
      <c r="D5">
        <v>16</v>
      </c>
      <c r="E5">
        <v>29</v>
      </c>
      <c r="F5">
        <v>31</v>
      </c>
      <c r="G5">
        <v>45</v>
      </c>
      <c r="H5">
        <v>2.06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CE2F6-E584-4EC7-BA28-8EFEF335D547}">
  <dimension ref="A1:E5"/>
  <sheetViews>
    <sheetView workbookViewId="0">
      <selection activeCell="E1" activeCellId="1" sqref="A1:A5 E1:E5"/>
    </sheetView>
  </sheetViews>
  <sheetFormatPr defaultRowHeight="14.4" x14ac:dyDescent="0.3"/>
  <cols>
    <col min="1" max="1" width="13.5546875" bestFit="1" customWidth="1"/>
    <col min="2" max="2" width="13.21875" bestFit="1" customWidth="1"/>
    <col min="3" max="3" width="29.6640625" bestFit="1" customWidth="1"/>
    <col min="4" max="4" width="32.44140625" bestFit="1" customWidth="1"/>
    <col min="5" max="5" width="25.88671875" bestFit="1" customWidth="1"/>
  </cols>
  <sheetData>
    <row r="1" spans="1:5" x14ac:dyDescent="0.3">
      <c r="A1" t="s">
        <v>7</v>
      </c>
      <c r="B1" t="s">
        <v>15</v>
      </c>
      <c r="C1" t="s">
        <v>16</v>
      </c>
      <c r="D1" t="s">
        <v>17</v>
      </c>
      <c r="E1" t="s">
        <v>18</v>
      </c>
    </row>
    <row r="2" spans="1:5" x14ac:dyDescent="0.3">
      <c r="A2" s="1" t="s">
        <v>0</v>
      </c>
      <c r="B2">
        <v>89936</v>
      </c>
      <c r="C2">
        <v>36810</v>
      </c>
      <c r="D2">
        <v>53126</v>
      </c>
      <c r="E2">
        <v>40.93</v>
      </c>
    </row>
    <row r="3" spans="1:5" x14ac:dyDescent="0.3">
      <c r="A3" s="1" t="s">
        <v>1</v>
      </c>
      <c r="B3">
        <v>3672</v>
      </c>
      <c r="C3">
        <v>1988</v>
      </c>
      <c r="D3">
        <v>1684</v>
      </c>
      <c r="E3">
        <v>54.14</v>
      </c>
    </row>
    <row r="4" spans="1:5" x14ac:dyDescent="0.3">
      <c r="A4" s="1" t="s">
        <v>2</v>
      </c>
      <c r="B4">
        <v>2517</v>
      </c>
      <c r="C4">
        <v>1622</v>
      </c>
      <c r="D4">
        <v>895</v>
      </c>
      <c r="E4">
        <v>64.44</v>
      </c>
    </row>
    <row r="5" spans="1:5" x14ac:dyDescent="0.3">
      <c r="A5" s="1" t="s">
        <v>3</v>
      </c>
      <c r="B5">
        <v>345</v>
      </c>
      <c r="C5">
        <v>226</v>
      </c>
      <c r="D5">
        <v>119</v>
      </c>
      <c r="E5">
        <v>65.510000000000005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E586D-607D-4A76-A21A-46C26E59CF34}">
  <dimension ref="A1:D4"/>
  <sheetViews>
    <sheetView workbookViewId="0">
      <selection sqref="A1:D4"/>
    </sheetView>
  </sheetViews>
  <sheetFormatPr defaultRowHeight="14.4" x14ac:dyDescent="0.3"/>
  <cols>
    <col min="1" max="1" width="13.77734375" bestFit="1" customWidth="1"/>
    <col min="2" max="2" width="15.88671875" bestFit="1" customWidth="1"/>
    <col min="3" max="3" width="22.6640625" bestFit="1" customWidth="1"/>
    <col min="4" max="4" width="33.44140625" bestFit="1" customWidth="1"/>
  </cols>
  <sheetData>
    <row r="1" spans="1:4" x14ac:dyDescent="0.3">
      <c r="A1" t="s">
        <v>19</v>
      </c>
      <c r="B1" t="s">
        <v>20</v>
      </c>
      <c r="C1" t="s">
        <v>21</v>
      </c>
      <c r="D1" t="s">
        <v>22</v>
      </c>
    </row>
    <row r="2" spans="1:4" x14ac:dyDescent="0.3">
      <c r="A2" s="1" t="s">
        <v>4</v>
      </c>
      <c r="B2">
        <v>14575</v>
      </c>
      <c r="C2">
        <v>10994</v>
      </c>
      <c r="D2">
        <v>3581</v>
      </c>
    </row>
    <row r="3" spans="1:4" x14ac:dyDescent="0.3">
      <c r="A3" s="1" t="s">
        <v>5</v>
      </c>
      <c r="B3">
        <v>8179</v>
      </c>
      <c r="C3">
        <v>3644</v>
      </c>
      <c r="D3">
        <v>4535</v>
      </c>
    </row>
    <row r="4" spans="1:4" x14ac:dyDescent="0.3">
      <c r="A4" s="1" t="s">
        <v>6</v>
      </c>
      <c r="B4">
        <v>76470</v>
      </c>
      <c r="C4">
        <v>28059</v>
      </c>
      <c r="D4">
        <v>48411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CC116-CF18-4C22-B3AC-78CB736A147B}">
  <dimension ref="A1:G4"/>
  <sheetViews>
    <sheetView topLeftCell="B1" workbookViewId="0">
      <selection activeCell="G1" activeCellId="1" sqref="B1:B4 G1:G4"/>
    </sheetView>
  </sheetViews>
  <sheetFormatPr defaultRowHeight="14.4" x14ac:dyDescent="0.3"/>
  <cols>
    <col min="1" max="1" width="13.77734375" bestFit="1" customWidth="1"/>
    <col min="2" max="2" width="20.6640625" bestFit="1" customWidth="1"/>
    <col min="3" max="3" width="17.6640625" bestFit="1" customWidth="1"/>
    <col min="4" max="4" width="22.6640625" bestFit="1" customWidth="1"/>
    <col min="5" max="5" width="21.6640625" bestFit="1" customWidth="1"/>
    <col min="6" max="6" width="33.6640625" bestFit="1" customWidth="1"/>
    <col min="7" max="7" width="33.5546875" bestFit="1" customWidth="1"/>
  </cols>
  <sheetData>
    <row r="1" spans="1:7" x14ac:dyDescent="0.3">
      <c r="A1" t="s">
        <v>19</v>
      </c>
      <c r="B1" t="s">
        <v>23</v>
      </c>
      <c r="C1" t="s">
        <v>24</v>
      </c>
      <c r="D1" t="s">
        <v>21</v>
      </c>
      <c r="E1" t="s">
        <v>25</v>
      </c>
      <c r="F1" t="s">
        <v>26</v>
      </c>
      <c r="G1" t="s">
        <v>27</v>
      </c>
    </row>
    <row r="2" spans="1:7" x14ac:dyDescent="0.3">
      <c r="A2" s="1" t="s">
        <v>4</v>
      </c>
      <c r="B2">
        <v>14575</v>
      </c>
      <c r="C2">
        <v>1.22</v>
      </c>
      <c r="D2">
        <v>10994</v>
      </c>
      <c r="E2">
        <v>75.430000000000007</v>
      </c>
      <c r="F2">
        <v>4333</v>
      </c>
      <c r="G2">
        <v>39.409999999999997</v>
      </c>
    </row>
    <row r="3" spans="1:7" x14ac:dyDescent="0.3">
      <c r="A3" s="1" t="s">
        <v>5</v>
      </c>
      <c r="B3">
        <v>8179</v>
      </c>
      <c r="C3">
        <v>3</v>
      </c>
      <c r="D3">
        <v>3644</v>
      </c>
      <c r="E3">
        <v>44.55</v>
      </c>
      <c r="F3">
        <v>608</v>
      </c>
      <c r="G3">
        <v>16.68</v>
      </c>
    </row>
    <row r="4" spans="1:7" x14ac:dyDescent="0.3">
      <c r="A4" s="1" t="s">
        <v>6</v>
      </c>
      <c r="B4">
        <v>76470</v>
      </c>
      <c r="C4">
        <v>4.75</v>
      </c>
      <c r="D4">
        <v>28059</v>
      </c>
      <c r="E4">
        <v>36.69</v>
      </c>
      <c r="F4">
        <v>1262</v>
      </c>
      <c r="G4">
        <v>4.5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E0FBF-79B8-4022-A0F9-E8048C89BEBB}">
  <dimension ref="A1:F115"/>
  <sheetViews>
    <sheetView topLeftCell="A101" workbookViewId="0">
      <selection activeCell="F114" sqref="F114"/>
    </sheetView>
  </sheetViews>
  <sheetFormatPr defaultRowHeight="14.4" x14ac:dyDescent="0.3"/>
  <cols>
    <col min="1" max="1" width="13.77734375" bestFit="1" customWidth="1"/>
    <col min="2" max="2" width="26.6640625" bestFit="1" customWidth="1"/>
    <col min="3" max="3" width="37.33203125" bestFit="1" customWidth="1"/>
    <col min="4" max="4" width="17.6640625" customWidth="1"/>
    <col min="5" max="5" width="17.77734375" customWidth="1"/>
    <col min="6" max="6" width="17.109375" customWidth="1"/>
  </cols>
  <sheetData>
    <row r="1" spans="1:2" x14ac:dyDescent="0.3">
      <c r="A1" s="4" t="s">
        <v>28</v>
      </c>
    </row>
    <row r="3" spans="1:2" x14ac:dyDescent="0.3">
      <c r="A3" s="7" t="s">
        <v>7</v>
      </c>
      <c r="B3" s="7" t="s">
        <v>14</v>
      </c>
    </row>
    <row r="4" spans="1:2" x14ac:dyDescent="0.3">
      <c r="A4" s="5" t="s">
        <v>0</v>
      </c>
      <c r="B4" s="2">
        <v>4.29</v>
      </c>
    </row>
    <row r="5" spans="1:2" x14ac:dyDescent="0.3">
      <c r="A5" s="6" t="s">
        <v>1</v>
      </c>
      <c r="B5" s="3">
        <v>2.72</v>
      </c>
    </row>
    <row r="6" spans="1:2" x14ac:dyDescent="0.3">
      <c r="A6" s="5" t="s">
        <v>2</v>
      </c>
      <c r="B6" s="2">
        <v>1.65</v>
      </c>
    </row>
    <row r="7" spans="1:2" x14ac:dyDescent="0.3">
      <c r="A7" s="8" t="s">
        <v>3</v>
      </c>
      <c r="B7" s="9">
        <v>2.06</v>
      </c>
    </row>
    <row r="28" spans="1:6" x14ac:dyDescent="0.3">
      <c r="A28" s="4" t="s">
        <v>32</v>
      </c>
    </row>
    <row r="30" spans="1:6" x14ac:dyDescent="0.3">
      <c r="A30" s="7" t="s">
        <v>7</v>
      </c>
      <c r="B30" s="7" t="s">
        <v>9</v>
      </c>
      <c r="C30" s="7" t="s">
        <v>10</v>
      </c>
      <c r="D30" s="7" t="s">
        <v>11</v>
      </c>
      <c r="E30" s="7" t="s">
        <v>12</v>
      </c>
      <c r="F30" s="7" t="s">
        <v>13</v>
      </c>
    </row>
    <row r="31" spans="1:6" x14ac:dyDescent="0.3">
      <c r="A31" s="5" t="s">
        <v>0</v>
      </c>
      <c r="B31" s="2">
        <v>5893</v>
      </c>
      <c r="C31" s="2">
        <v>2389</v>
      </c>
      <c r="D31" s="2">
        <v>7248</v>
      </c>
      <c r="E31" s="2">
        <v>18271</v>
      </c>
      <c r="F31" s="2">
        <v>55642</v>
      </c>
    </row>
    <row r="32" spans="1:6" x14ac:dyDescent="0.3">
      <c r="A32" s="6" t="s">
        <v>1</v>
      </c>
      <c r="B32" s="3">
        <v>1487</v>
      </c>
      <c r="C32" s="3">
        <v>290</v>
      </c>
      <c r="D32" s="3">
        <v>444</v>
      </c>
      <c r="E32" s="3">
        <v>519</v>
      </c>
      <c r="F32" s="3">
        <v>860</v>
      </c>
    </row>
    <row r="33" spans="1:6" x14ac:dyDescent="0.3">
      <c r="A33" s="5" t="s">
        <v>2</v>
      </c>
      <c r="B33" s="2">
        <v>1732</v>
      </c>
      <c r="C33" s="2">
        <v>251</v>
      </c>
      <c r="D33" s="2">
        <v>218</v>
      </c>
      <c r="E33" s="2">
        <v>101</v>
      </c>
      <c r="F33" s="2">
        <v>150</v>
      </c>
    </row>
    <row r="34" spans="1:6" x14ac:dyDescent="0.3">
      <c r="A34" s="8" t="s">
        <v>3</v>
      </c>
      <c r="B34" s="9">
        <v>208</v>
      </c>
      <c r="C34" s="9">
        <v>16</v>
      </c>
      <c r="D34" s="9">
        <v>29</v>
      </c>
      <c r="E34" s="9">
        <v>31</v>
      </c>
      <c r="F34" s="9">
        <v>45</v>
      </c>
    </row>
    <row r="54" spans="1:2" x14ac:dyDescent="0.3">
      <c r="A54" s="4" t="s">
        <v>35</v>
      </c>
    </row>
    <row r="56" spans="1:2" x14ac:dyDescent="0.3">
      <c r="A56" s="7" t="s">
        <v>7</v>
      </c>
      <c r="B56" s="7" t="s">
        <v>18</v>
      </c>
    </row>
    <row r="57" spans="1:2" x14ac:dyDescent="0.3">
      <c r="A57" s="5" t="s">
        <v>0</v>
      </c>
      <c r="B57" s="2">
        <v>40.93</v>
      </c>
    </row>
    <row r="58" spans="1:2" x14ac:dyDescent="0.3">
      <c r="A58" s="6" t="s">
        <v>1</v>
      </c>
      <c r="B58" s="3">
        <v>54.14</v>
      </c>
    </row>
    <row r="59" spans="1:2" x14ac:dyDescent="0.3">
      <c r="A59" s="5" t="s">
        <v>2</v>
      </c>
      <c r="B59" s="2">
        <v>64.44</v>
      </c>
    </row>
    <row r="60" spans="1:2" x14ac:dyDescent="0.3">
      <c r="A60" s="8" t="s">
        <v>3</v>
      </c>
      <c r="B60" s="9">
        <v>65.510000000000005</v>
      </c>
    </row>
    <row r="81" spans="1:2" x14ac:dyDescent="0.3">
      <c r="A81" s="4" t="s">
        <v>38</v>
      </c>
    </row>
    <row r="83" spans="1:2" x14ac:dyDescent="0.3">
      <c r="A83" s="7" t="s">
        <v>23</v>
      </c>
      <c r="B83" s="7" t="s">
        <v>27</v>
      </c>
    </row>
    <row r="84" spans="1:2" x14ac:dyDescent="0.3">
      <c r="A84" s="2">
        <v>14575</v>
      </c>
      <c r="B84" s="2">
        <v>39.409999999999997</v>
      </c>
    </row>
    <row r="85" spans="1:2" x14ac:dyDescent="0.3">
      <c r="A85" s="3">
        <v>8179</v>
      </c>
      <c r="B85" s="3">
        <v>16.68</v>
      </c>
    </row>
    <row r="86" spans="1:2" x14ac:dyDescent="0.3">
      <c r="A86" s="14">
        <v>76470</v>
      </c>
      <c r="B86" s="14">
        <v>4.5</v>
      </c>
    </row>
    <row r="106" spans="1:3" x14ac:dyDescent="0.3">
      <c r="A106" s="4" t="s">
        <v>41</v>
      </c>
    </row>
    <row r="108" spans="1:3" x14ac:dyDescent="0.3">
      <c r="A108" s="16" t="s">
        <v>42</v>
      </c>
      <c r="B108" t="s">
        <v>44</v>
      </c>
      <c r="C108" t="s">
        <v>45</v>
      </c>
    </row>
    <row r="109" spans="1:3" x14ac:dyDescent="0.3">
      <c r="A109" s="17" t="s">
        <v>6</v>
      </c>
      <c r="B109" s="1">
        <v>28059</v>
      </c>
      <c r="C109" s="1">
        <v>48411</v>
      </c>
    </row>
    <row r="110" spans="1:3" x14ac:dyDescent="0.3">
      <c r="A110" s="17" t="s">
        <v>4</v>
      </c>
      <c r="B110" s="1">
        <v>10994</v>
      </c>
      <c r="C110" s="1">
        <v>3581</v>
      </c>
    </row>
    <row r="111" spans="1:3" x14ac:dyDescent="0.3">
      <c r="A111" s="17" t="s">
        <v>5</v>
      </c>
      <c r="B111" s="1">
        <v>3644</v>
      </c>
      <c r="C111" s="1">
        <v>4535</v>
      </c>
    </row>
    <row r="112" spans="1:3" x14ac:dyDescent="0.3">
      <c r="A112" s="17" t="s">
        <v>43</v>
      </c>
      <c r="B112" s="1">
        <v>42697</v>
      </c>
      <c r="C112" s="1">
        <v>56527</v>
      </c>
    </row>
    <row r="115" spans="1:1" x14ac:dyDescent="0.3">
      <c r="A115" s="4" t="s">
        <v>46</v>
      </c>
    </row>
  </sheetData>
  <pageMargins left="0.7" right="0.7" top="0.75" bottom="0.75" header="0.3" footer="0.3"/>
  <drawing r:id="rId2"/>
  <tableParts count="4">
    <tablePart r:id="rId3"/>
    <tablePart r:id="rId4"/>
    <tablePart r:id="rId5"/>
    <tablePart r:id="rId6"/>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8BD08-0CF7-4293-BB6D-46491A93BAA0}">
  <dimension ref="A1:A30"/>
  <sheetViews>
    <sheetView tabSelected="1" topLeftCell="A14" workbookViewId="0">
      <selection activeCell="A33" sqref="A33"/>
    </sheetView>
  </sheetViews>
  <sheetFormatPr defaultRowHeight="14.4" x14ac:dyDescent="0.3"/>
  <cols>
    <col min="1" max="1" width="156.109375" customWidth="1"/>
  </cols>
  <sheetData>
    <row r="1" spans="1:1" ht="31.2" x14ac:dyDescent="0.3">
      <c r="A1" s="10" t="s">
        <v>29</v>
      </c>
    </row>
    <row r="3" spans="1:1" ht="23.4" x14ac:dyDescent="0.3">
      <c r="A3" s="11" t="s">
        <v>30</v>
      </c>
    </row>
    <row r="5" spans="1:1" ht="28.8" x14ac:dyDescent="0.3">
      <c r="A5" s="13" t="s">
        <v>31</v>
      </c>
    </row>
    <row r="9" spans="1:1" ht="23.4" x14ac:dyDescent="0.3">
      <c r="A9" s="11"/>
    </row>
    <row r="11" spans="1:1" ht="23.4" x14ac:dyDescent="0.45">
      <c r="A11" s="12" t="s">
        <v>33</v>
      </c>
    </row>
    <row r="13" spans="1:1" ht="28.8" x14ac:dyDescent="0.3">
      <c r="A13" s="13" t="s">
        <v>34</v>
      </c>
    </row>
    <row r="17" spans="1:1" ht="23.4" x14ac:dyDescent="0.3">
      <c r="A17" s="11" t="s">
        <v>36</v>
      </c>
    </row>
    <row r="19" spans="1:1" ht="43.2" x14ac:dyDescent="0.3">
      <c r="A19" s="13" t="s">
        <v>37</v>
      </c>
    </row>
    <row r="22" spans="1:1" ht="23.4" x14ac:dyDescent="0.3">
      <c r="A22" s="15" t="s">
        <v>39</v>
      </c>
    </row>
    <row r="23" spans="1:1" x14ac:dyDescent="0.3">
      <c r="A23" s="13"/>
    </row>
    <row r="24" spans="1:1" ht="57.6" x14ac:dyDescent="0.3">
      <c r="A24" s="13" t="s">
        <v>40</v>
      </c>
    </row>
    <row r="28" spans="1:1" ht="23.4" x14ac:dyDescent="0.3">
      <c r="A28" s="15" t="s">
        <v>47</v>
      </c>
    </row>
    <row r="29" spans="1:1" x14ac:dyDescent="0.3">
      <c r="A29" s="13"/>
    </row>
    <row r="30" spans="1:1" ht="43.2" x14ac:dyDescent="0.3">
      <c r="A30" s="13" t="s">
        <v>48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F38C6BC-9F1C-4DEF-8873-7C844A06B7D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Delivery vs Reviews</vt:lpstr>
      <vt:lpstr>Comments vs Delay</vt:lpstr>
      <vt:lpstr>Review Population</vt:lpstr>
      <vt:lpstr>Issue Flags</vt:lpstr>
      <vt:lpstr>Mission_4E Pivots</vt:lpstr>
      <vt:lpstr>Mission_4E Findings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riya mittal</dc:creator>
  <cp:lastModifiedBy>riya mittal</cp:lastModifiedBy>
  <dcterms:created xsi:type="dcterms:W3CDTF">2026-10-22T21:38:52Z</dcterms:created>
  <dcterms:modified xsi:type="dcterms:W3CDTF">2026-10-22T22:46:20Z</dcterms:modified>
</cp:coreProperties>
</file>