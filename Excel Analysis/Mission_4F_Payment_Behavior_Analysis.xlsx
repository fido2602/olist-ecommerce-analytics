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85e37282ad1bd1e2/Desktop/Olist_Flagship_Project/Excel/"/>
    </mc:Choice>
  </mc:AlternateContent>
  <xr:revisionPtr revIDLastSave="92" documentId="8_{A62C48A4-DCD9-4FD3-AC69-44222E49B816}" xr6:coauthVersionLast="47" xr6:coauthVersionMax="47" xr10:uidLastSave="{A4302771-92DA-4244-BC12-61E75FDCFE2E}"/>
  <bookViews>
    <workbookView xWindow="-108" yWindow="-108" windowWidth="23256" windowHeight="13896" firstSheet="2" activeTab="4" xr2:uid="{41186A3F-2729-4FDA-8AE7-357E782394D7}"/>
  </bookViews>
  <sheets>
    <sheet name="Payment Method Mix" sheetId="2" r:id="rId1"/>
    <sheet name="Installment Distribution" sheetId="3" r:id="rId2"/>
    <sheet name="Method vs Installments" sheetId="4" r:id="rId3"/>
    <sheet name="Mission_4F Pivots" sheetId="1" r:id="rId4"/>
    <sheet name="Mission_4F Findings" sheetId="5" r:id="rId5"/>
  </sheets>
  <definedNames>
    <definedName name="ExternalData_1" localSheetId="1" hidden="1">'Installment Distribution'!$A$1:$E$7</definedName>
    <definedName name="ExternalData_1" localSheetId="2" hidden="1">'Method vs Installments'!$A$1:$D$11</definedName>
    <definedName name="ExternalData_1" localSheetId="0" hidden="1">'Payment Method Mix'!$A$1:$E$6</definedName>
  </definedNames>
  <calcPr calcId="191029"/>
  <pivotCaches>
    <pivotCache cacheId="4"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E72E75-44DF-4697-A1EC-2ADC0CF8D765}" keepAlive="1" name="Query - phase4f_1_payment_method_mix" description="Connection to the 'phase4f_1_payment_method_mix' query in the workbook." type="5" refreshedVersion="8" background="1" saveData="1">
    <dbPr connection="Provider=Microsoft.Mashup.OleDb.1;Data Source=$Workbook$;Location=phase4f_1_payment_method_mix;Extended Properties=&quot;&quot;" command="SELECT * FROM [phase4f_1_payment_method_mix]"/>
  </connection>
  <connection id="2" xr16:uid="{A8371447-700E-4B1B-A25D-2B22888F3D73}" keepAlive="1" name="Query - phase4f_2_payment_installment_distribution" description="Connection to the 'phase4f_2_payment_installment_distribution' query in the workbook." type="5" refreshedVersion="8" background="1" saveData="1">
    <dbPr connection="Provider=Microsoft.Mashup.OleDb.1;Data Source=$Workbook$;Location=phase4f_2_payment_installment_distribution;Extended Properties=&quot;&quot;" command="SELECT * FROM [phase4f_2_payment_installment_distribution]"/>
  </connection>
  <connection id="3" xr16:uid="{E3D7FEE6-E21D-4FC9-88ED-3D88F2951271}" keepAlive="1" name="Query - phase4f_3_payment_method_by_installment_count" description="Connection to the 'phase4f_3_payment_method_by_installment_count' query in the workbook." type="5" refreshedVersion="8" background="1" saveData="1">
    <dbPr connection="Provider=Microsoft.Mashup.OleDb.1;Data Source=$Workbook$;Location=phase4f_3_payment_method_by_installment_count;Extended Properties=&quot;&quot;" command="SELECT * FROM [phase4f_3_payment_method_by_installment_count]"/>
  </connection>
</connections>
</file>

<file path=xl/sharedStrings.xml><?xml version="1.0" encoding="utf-8"?>
<sst xmlns="http://schemas.openxmlformats.org/spreadsheetml/2006/main" count="89" uniqueCount="34">
  <si>
    <t>payment_type</t>
  </si>
  <si>
    <t>payment_record_count</t>
  </si>
  <si>
    <t>total_payment_value</t>
  </si>
  <si>
    <t>avg_payment_record_value</t>
  </si>
  <si>
    <t>payment_record_share_pct</t>
  </si>
  <si>
    <t>credit_card</t>
  </si>
  <si>
    <t>boleto</t>
  </si>
  <si>
    <t>voucher</t>
  </si>
  <si>
    <t>debit_card</t>
  </si>
  <si>
    <t>not_defined</t>
  </si>
  <si>
    <t>installment_band</t>
  </si>
  <si>
    <t>1 installment</t>
  </si>
  <si>
    <t>2 installments</t>
  </si>
  <si>
    <t>3–6 installments</t>
  </si>
  <si>
    <t>7–12 installments</t>
  </si>
  <si>
    <t>13+ installments</t>
  </si>
  <si>
    <t>Invalid (below 1)</t>
  </si>
  <si>
    <t>Mission_4F.1</t>
  </si>
  <si>
    <t>Credit cards accounted for 73.92% of all payment records and had the highest total recorded payment value at R$12.54 million. Boleto was the second-largest method, with R$2.87 million, followed by vouchers at R$379,436.87 and debit cards at R$217,989.79. This indicates that credit cards dominated recorded payment activity in the analyzed dataset. These figures describe payment records rather than unique orders or customers, and recorded payment value is not equivalent to profit.</t>
  </si>
  <si>
    <t>Phase 4F — Payment Behavior Analysis: Findings</t>
  </si>
  <si>
    <t>Finding 1: Payment Method Mix</t>
  </si>
  <si>
    <t>Finding 2: Payment Installment Distribution</t>
  </si>
  <si>
    <t>Single-installment payments represented 50.58% of payment records, making this the most common installment group. Payments with 3–6 installments accounted for another 25.72%, while 2-installment and 7–12-installment records represented 11.95% and 11.57%, respectively. Only 0.18% of records involved more than 12 installments. The pattern indicates that single-installment payments were most common, although installment-based payments also represented a substantial portion of recorded activity. These percentages are based on payment records, not unique orders or customers.</t>
  </si>
  <si>
    <t>Finding 3: Payment Method and Installment Behavior</t>
  </si>
  <si>
    <t>Credit-card records appeared across all installment groups, including 2–12 installments and more than 12 installments. In contrast, boleto, debit-card, and voucher records appeared only in the single-installment group in this dataset. Credit-card records with two or more installments totaled 51,340 and represented R$10,061,450.13 in recorded payment value. This indicates that installment activity was concentrated in credit-card payments. The analysis describes observed payment patterns and does not establish why customers selected particular payment methods or installment plans.</t>
  </si>
  <si>
    <t>Data Quality and Limitations</t>
  </si>
  <si>
    <r>
      <t xml:space="preserve">Two credit-card payment records had installment counts below one and totaled R$188.63. These records were retained as a separate invalid category for transparency. Three records were classified as </t>
    </r>
    <r>
      <rPr>
        <sz val="10"/>
        <color theme="1"/>
        <rFont val="Arial Unicode MS"/>
      </rPr>
      <t>not_defined</t>
    </r>
    <r>
      <rPr>
        <sz val="11"/>
        <color theme="1"/>
        <rFont val="Aptos Narrow"/>
        <family val="2"/>
        <scheme val="minor"/>
      </rPr>
      <t xml:space="preserve"> and had a combined recorded payment value of R$0.00. Payment-record counts can differ from unique order counts because an order may contain multiple payment records. Recorded payment value is not profit, and the analysis does not establish customer motivations or causation.</t>
    </r>
  </si>
  <si>
    <t>Mission_4F.2</t>
  </si>
  <si>
    <t>Mission_4F.3</t>
  </si>
  <si>
    <t>Row Labels</t>
  </si>
  <si>
    <t>Grand Total</t>
  </si>
  <si>
    <t>Column Labels</t>
  </si>
  <si>
    <t>Sum of payment_record_count</t>
  </si>
  <si>
    <t>Mission_4F.4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</si>
</sst>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theme="0"/>
      <name val="Aptos Narrow"/>
      <family val="2"/>
      <scheme val="minor"/>
    </font>
    <font>
      <b/>
      <sz val="11"/>
      <color theme="1"/>
      <name val="Aptos Narrow"/>
      <family val="2"/>
      <scheme val="minor"/>
    </font>
    <font>
      <b/>
      <sz val="24"/>
      <color theme="1"/>
      <name val="Aptos Narrow"/>
      <family val="2"/>
      <scheme val="minor"/>
    </font>
    <font>
      <b/>
      <sz val="18"/>
      <color theme="1"/>
      <name val="Aptos Narrow"/>
      <family val="2"/>
      <scheme val="minor"/>
    </font>
    <font>
      <sz val="10"/>
      <color theme="1"/>
      <name val="Arial Unicode MS"/>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4">
    <border>
      <left/>
      <right/>
      <top/>
      <bottom/>
      <diagonal/>
    </border>
    <border>
      <left/>
      <right/>
      <top style="thin">
        <color theme="9" tint="0.39997558519241921"/>
      </top>
      <bottom style="thin">
        <color theme="9" tint="0.39997558519241921"/>
      </bottom>
      <diagonal/>
    </border>
    <border>
      <left/>
      <right/>
      <top/>
      <bottom style="thin">
        <color theme="9" tint="0.39997558519241921"/>
      </bottom>
      <diagonal/>
    </border>
    <border>
      <left/>
      <right/>
      <top style="thin">
        <color theme="9" tint="0.39997558519241921"/>
      </top>
      <bottom/>
      <diagonal/>
    </border>
  </borders>
  <cellStyleXfs count="1">
    <xf numFmtId="0" fontId="0" fillId="0" borderId="0"/>
  </cellStyleXfs>
  <cellXfs count="18">
    <xf numFmtId="0" fontId="0" fillId="0" borderId="0" xfId="0"/>
    <xf numFmtId="49" fontId="0" fillId="0" borderId="0" xfId="0" applyNumberFormat="1"/>
    <xf numFmtId="2" fontId="0" fillId="0" borderId="0" xfId="0" applyNumberFormat="1"/>
    <xf numFmtId="3" fontId="0" fillId="0" borderId="0" xfId="0" applyNumberFormat="1"/>
    <xf numFmtId="0" fontId="0" fillId="3" borderId="1" xfId="0" applyFont="1" applyFill="1" applyBorder="1"/>
    <xf numFmtId="0" fontId="0" fillId="0" borderId="1" xfId="0" applyFont="1" applyBorder="1"/>
    <xf numFmtId="0" fontId="2" fillId="0" borderId="0" xfId="0" applyFont="1"/>
    <xf numFmtId="0" fontId="1" fillId="2" borderId="2" xfId="0" applyFont="1" applyFill="1" applyBorder="1"/>
    <xf numFmtId="2" fontId="1" fillId="2" borderId="2" xfId="0" applyNumberFormat="1" applyFont="1" applyFill="1" applyBorder="1"/>
    <xf numFmtId="0" fontId="0" fillId="3" borderId="3" xfId="0" applyFont="1" applyFill="1" applyBorder="1"/>
    <xf numFmtId="0" fontId="3" fillId="0" borderId="0" xfId="0" applyFont="1" applyAlignment="1">
      <alignment vertical="center"/>
    </xf>
    <xf numFmtId="0" fontId="4" fillId="0" borderId="0" xfId="0" applyFont="1" applyAlignment="1">
      <alignment vertical="center"/>
    </xf>
    <xf numFmtId="0" fontId="0" fillId="0" borderId="0" xfId="0" applyAlignment="1">
      <alignment wrapText="1"/>
    </xf>
    <xf numFmtId="49" fontId="1" fillId="2" borderId="2" xfId="0" applyNumberFormat="1" applyFont="1" applyFill="1" applyBorder="1"/>
    <xf numFmtId="0" fontId="0" fillId="0" borderId="3" xfId="0" applyFont="1" applyBorder="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6">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bottom style="thin">
          <color theme="9" tint="0.39997558519241921"/>
        </bottom>
      </border>
    </dxf>
    <dxf>
      <border outline="0">
        <left style="thin">
          <color theme="9" tint="0.39997558519241921"/>
        </left>
        <top style="thin">
          <color theme="9" tint="0.39997558519241921"/>
        </top>
        <bottom style="thin">
          <color theme="9" tint="0.39997558519241921"/>
        </bottom>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bottom style="thin">
          <color theme="9" tint="0.39997558519241921"/>
        </bottom>
      </border>
    </dxf>
    <dxf>
      <border outline="0">
        <left style="thin">
          <color theme="9" tint="0.39997558519241921"/>
        </left>
        <top style="thin">
          <color theme="9" tint="0.39997558519241921"/>
        </top>
        <bottom style="thin">
          <color theme="9" tint="0.39997558519241921"/>
        </bottom>
      </border>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Recorded Payment Value by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'Mission_4F Pivots'!$B$3</c:f>
              <c:strCache>
                <c:ptCount val="1"/>
                <c:pt idx="0">
                  <c:v>total_payment_value</c:v>
                </c:pt>
              </c:strCache>
            </c:strRef>
          </c:tx>
          <c:spPr>
            <a:solidFill>
              <a:schemeClr val="accent1"/>
            </a:solidFill>
            <a:ln>
              <a:noFill/>
            </a:ln>
            <a:effectLst/>
          </c:spPr>
          <c:invertIfNegative val="0"/>
          <c:cat>
            <c:strRef>
              <c:f>'Mission_4F Pivots'!$A$4:$A$8</c:f>
              <c:strCache>
                <c:ptCount val="5"/>
                <c:pt idx="0">
                  <c:v>credit_card</c:v>
                </c:pt>
                <c:pt idx="1">
                  <c:v>boleto</c:v>
                </c:pt>
                <c:pt idx="2">
                  <c:v>voucher</c:v>
                </c:pt>
                <c:pt idx="3">
                  <c:v>debit_card</c:v>
                </c:pt>
                <c:pt idx="4">
                  <c:v>not_defined</c:v>
                </c:pt>
              </c:strCache>
            </c:strRef>
          </c:cat>
          <c:val>
            <c:numRef>
              <c:f>'Mission_4F Pivots'!$B$4:$B$8</c:f>
              <c:numCache>
                <c:formatCode>General</c:formatCode>
                <c:ptCount val="5"/>
                <c:pt idx="0">
                  <c:v>12542084.189999999</c:v>
                </c:pt>
                <c:pt idx="1">
                  <c:v>2869361.27</c:v>
                </c:pt>
                <c:pt idx="2">
                  <c:v>379436.87</c:v>
                </c:pt>
                <c:pt idx="3">
                  <c:v>217989.79</c:v>
                </c:pt>
                <c:pt idx="4">
                  <c:v>0</c:v>
                </c:pt>
              </c:numCache>
            </c:numRef>
          </c:val>
          <c:extLst>
            <c:ext xmlns:c16="http://schemas.microsoft.com/office/drawing/2014/chart" uri="{C3380CC4-5D6E-409C-BE32-E72D297353CC}">
              <c16:uniqueId val="{00000000-2EC7-402B-B36A-7E109E28F4A6}"/>
            </c:ext>
          </c:extLst>
        </c:ser>
        <c:dLbls>
          <c:showLegendKey val="0"/>
          <c:showVal val="0"/>
          <c:showCatName val="0"/>
          <c:showSerName val="0"/>
          <c:showPercent val="0"/>
          <c:showBubbleSize val="0"/>
        </c:dLbls>
        <c:gapWidth val="182"/>
        <c:axId val="1559095503"/>
        <c:axId val="1559095983"/>
      </c:barChart>
      <c:catAx>
        <c:axId val="155909550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Payment Method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095983"/>
        <c:crosses val="autoZero"/>
        <c:auto val="1"/>
        <c:lblAlgn val="ctr"/>
        <c:lblOffset val="100"/>
        <c:noMultiLvlLbl val="0"/>
      </c:catAx>
      <c:valAx>
        <c:axId val="15590959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Total Recorded Payment Value (R$)</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095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Payment Record Share by Installment Band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'Mission_4F Pivots'!$B$30</c:f>
              <c:strCache>
                <c:ptCount val="1"/>
                <c:pt idx="0">
                  <c:v>payment_record_count</c:v>
                </c:pt>
              </c:strCache>
            </c:strRef>
          </c:tx>
          <c:spPr>
            <a:solidFill>
              <a:schemeClr val="accent1"/>
            </a:solidFill>
            <a:ln>
              <a:noFill/>
            </a:ln>
            <a:effectLst/>
          </c:spPr>
          <c:invertIfNegative val="0"/>
          <c:cat>
            <c:strRef>
              <c:f>'Mission_4F Pivots'!$A$31:$A$36</c:f>
              <c:strCache>
                <c:ptCount val="6"/>
                <c:pt idx="0">
                  <c:v>1 installment</c:v>
                </c:pt>
                <c:pt idx="1">
                  <c:v>2 installments</c:v>
                </c:pt>
                <c:pt idx="2">
                  <c:v>3–6 installments</c:v>
                </c:pt>
                <c:pt idx="3">
                  <c:v>7–12 installments</c:v>
                </c:pt>
                <c:pt idx="4">
                  <c:v>13+ installments</c:v>
                </c:pt>
                <c:pt idx="5">
                  <c:v>Invalid (below 1)</c:v>
                </c:pt>
              </c:strCache>
            </c:strRef>
          </c:cat>
          <c:val>
            <c:numRef>
              <c:f>'Mission_4F Pivots'!$B$31:$B$36</c:f>
              <c:numCache>
                <c:formatCode>General</c:formatCode>
                <c:ptCount val="6"/>
                <c:pt idx="0">
                  <c:v>52546</c:v>
                </c:pt>
                <c:pt idx="1">
                  <c:v>12413</c:v>
                </c:pt>
                <c:pt idx="2">
                  <c:v>26718</c:v>
                </c:pt>
                <c:pt idx="3">
                  <c:v>12022</c:v>
                </c:pt>
                <c:pt idx="4">
                  <c:v>185</c:v>
                </c:pt>
                <c:pt idx="5">
                  <c:v>2</c:v>
                </c:pt>
              </c:numCache>
            </c:numRef>
          </c:val>
          <c:extLst>
            <c:ext xmlns:c16="http://schemas.microsoft.com/office/drawing/2014/chart" uri="{C3380CC4-5D6E-409C-BE32-E72D297353CC}">
              <c16:uniqueId val="{00000000-2FB8-439D-97E3-0DEB61A94360}"/>
            </c:ext>
          </c:extLst>
        </c:ser>
        <c:dLbls>
          <c:showLegendKey val="0"/>
          <c:showVal val="0"/>
          <c:showCatName val="0"/>
          <c:showSerName val="0"/>
          <c:showPercent val="0"/>
          <c:showBubbleSize val="0"/>
        </c:dLbls>
        <c:gapWidth val="182"/>
        <c:axId val="2139546671"/>
        <c:axId val="2127301295"/>
      </c:barChart>
      <c:catAx>
        <c:axId val="213954667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Installment Band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301295"/>
        <c:crosses val="autoZero"/>
        <c:auto val="1"/>
        <c:lblAlgn val="ctr"/>
        <c:lblOffset val="100"/>
        <c:noMultiLvlLbl val="0"/>
      </c:catAx>
      <c:valAx>
        <c:axId val="21273012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Share of Payment Records (%)</a:t>
                </a:r>
                <a:endParaRPr lang="en-US"/>
              </a:p>
            </c:rich>
          </c:tx>
          <c:layout>
            <c:manualLayout>
              <c:xMode val="edge"/>
              <c:yMode val="edge"/>
              <c:x val="0.35183223972003502"/>
              <c:y val="0.8971988918051909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546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[Mission_4F_Payment_Behavior_Analysis.xlsx]Mission_4F Pivots!PivotTable1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Payment Installment Distribution by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'Mission_4F Pivots'!$B$58:$B$59</c:f>
              <c:strCache>
                <c:ptCount val="1"/>
                <c:pt idx="0">
                  <c:v>boleto</c:v>
                </c:pt>
              </c:strCache>
            </c:strRef>
          </c:tx>
          <c:spPr>
            <a:solidFill>
              <a:schemeClr val="accent1"/>
            </a:solidFill>
            <a:ln>
              <a:noFill/>
            </a:ln>
            <a:effectLst/>
          </c:spPr>
          <c:invertIfNegative val="0"/>
          <c:cat>
            <c:strRef>
              <c:f>'Mission_4F Pivots'!$A$60:$A$66</c:f>
              <c:strCache>
                <c:ptCount val="6"/>
                <c:pt idx="0">
                  <c:v>1 installment</c:v>
                </c:pt>
                <c:pt idx="1">
                  <c:v>13+ installments</c:v>
                </c:pt>
                <c:pt idx="2">
                  <c:v>2 installments</c:v>
                </c:pt>
                <c:pt idx="3">
                  <c:v>3–6 installments</c:v>
                </c:pt>
                <c:pt idx="4">
                  <c:v>7–12 installments</c:v>
                </c:pt>
                <c:pt idx="5">
                  <c:v>Invalid (below 1)</c:v>
                </c:pt>
              </c:strCache>
            </c:strRef>
          </c:cat>
          <c:val>
            <c:numRef>
              <c:f>'Mission_4F Pivots'!$B$60:$B$66</c:f>
              <c:numCache>
                <c:formatCode>General</c:formatCode>
                <c:ptCount val="6"/>
                <c:pt idx="0">
                  <c:v>19784</c:v>
                </c:pt>
              </c:numCache>
            </c:numRef>
          </c:val>
          <c:extLst>
            <c:ext xmlns:c16="http://schemas.microsoft.com/office/drawing/2014/chart" uri="{C3380CC4-5D6E-409C-BE32-E72D297353CC}">
              <c16:uniqueId val="{00000000-AA99-49BA-86AB-00940B88AC38}"/>
            </c:ext>
          </c:extLst>
        </c:ser>
        <c:ser>
          <c:idx val="1"/>
          <c:order val="1"/>
          <c:tx>
            <c:strRef>
              <c:f>'Mission_4F Pivots'!$C$58:$C$59</c:f>
              <c:strCache>
                <c:ptCount val="1"/>
                <c:pt idx="0">
                  <c:v>credit_card</c:v>
                </c:pt>
              </c:strCache>
            </c:strRef>
          </c:tx>
          <c:spPr>
            <a:solidFill>
              <a:schemeClr val="accent2"/>
            </a:solidFill>
            <a:ln>
              <a:noFill/>
            </a:ln>
            <a:effectLst/>
          </c:spPr>
          <c:invertIfNegative val="0"/>
          <c:cat>
            <c:strRef>
              <c:f>'Mission_4F Pivots'!$A$60:$A$66</c:f>
              <c:strCache>
                <c:ptCount val="6"/>
                <c:pt idx="0">
                  <c:v>1 installment</c:v>
                </c:pt>
                <c:pt idx="1">
                  <c:v>13+ installments</c:v>
                </c:pt>
                <c:pt idx="2">
                  <c:v>2 installments</c:v>
                </c:pt>
                <c:pt idx="3">
                  <c:v>3–6 installments</c:v>
                </c:pt>
                <c:pt idx="4">
                  <c:v>7–12 installments</c:v>
                </c:pt>
                <c:pt idx="5">
                  <c:v>Invalid (below 1)</c:v>
                </c:pt>
              </c:strCache>
            </c:strRef>
          </c:cat>
          <c:val>
            <c:numRef>
              <c:f>'Mission_4F Pivots'!$C$60:$C$66</c:f>
              <c:numCache>
                <c:formatCode>General</c:formatCode>
                <c:ptCount val="6"/>
                <c:pt idx="0">
                  <c:v>25455</c:v>
                </c:pt>
                <c:pt idx="1">
                  <c:v>185</c:v>
                </c:pt>
                <c:pt idx="2">
                  <c:v>12413</c:v>
                </c:pt>
                <c:pt idx="3">
                  <c:v>26718</c:v>
                </c:pt>
                <c:pt idx="4">
                  <c:v>12022</c:v>
                </c:pt>
                <c:pt idx="5">
                  <c:v>2</c:v>
                </c:pt>
              </c:numCache>
            </c:numRef>
          </c:val>
          <c:extLst>
            <c:ext xmlns:c16="http://schemas.microsoft.com/office/drawing/2014/chart" uri="{C3380CC4-5D6E-409C-BE32-E72D297353CC}">
              <c16:uniqueId val="{00000001-AA99-49BA-86AB-00940B88AC38}"/>
            </c:ext>
          </c:extLst>
        </c:ser>
        <c:ser>
          <c:idx val="2"/>
          <c:order val="2"/>
          <c:tx>
            <c:strRef>
              <c:f>'Mission_4F Pivots'!$D$58:$D$59</c:f>
              <c:strCache>
                <c:ptCount val="1"/>
                <c:pt idx="0">
                  <c:v>debit_card</c:v>
                </c:pt>
              </c:strCache>
            </c:strRef>
          </c:tx>
          <c:spPr>
            <a:solidFill>
              <a:schemeClr val="accent3"/>
            </a:solidFill>
            <a:ln>
              <a:noFill/>
            </a:ln>
            <a:effectLst/>
          </c:spPr>
          <c:invertIfNegative val="0"/>
          <c:cat>
            <c:strRef>
              <c:f>'Mission_4F Pivots'!$A$60:$A$66</c:f>
              <c:strCache>
                <c:ptCount val="6"/>
                <c:pt idx="0">
                  <c:v>1 installment</c:v>
                </c:pt>
                <c:pt idx="1">
                  <c:v>13+ installments</c:v>
                </c:pt>
                <c:pt idx="2">
                  <c:v>2 installments</c:v>
                </c:pt>
                <c:pt idx="3">
                  <c:v>3–6 installments</c:v>
                </c:pt>
                <c:pt idx="4">
                  <c:v>7–12 installments</c:v>
                </c:pt>
                <c:pt idx="5">
                  <c:v>Invalid (below 1)</c:v>
                </c:pt>
              </c:strCache>
            </c:strRef>
          </c:cat>
          <c:val>
            <c:numRef>
              <c:f>'Mission_4F Pivots'!$D$60:$D$66</c:f>
              <c:numCache>
                <c:formatCode>General</c:formatCode>
                <c:ptCount val="6"/>
                <c:pt idx="0">
                  <c:v>1529</c:v>
                </c:pt>
              </c:numCache>
            </c:numRef>
          </c:val>
          <c:extLst>
            <c:ext xmlns:c16="http://schemas.microsoft.com/office/drawing/2014/chart" uri="{C3380CC4-5D6E-409C-BE32-E72D297353CC}">
              <c16:uniqueId val="{00000002-AA99-49BA-86AB-00940B88AC38}"/>
            </c:ext>
          </c:extLst>
        </c:ser>
        <c:ser>
          <c:idx val="3"/>
          <c:order val="3"/>
          <c:tx>
            <c:strRef>
              <c:f>'Mission_4F Pivots'!$E$58:$E$59</c:f>
              <c:strCache>
                <c:ptCount val="1"/>
                <c:pt idx="0">
                  <c:v>not_defined</c:v>
                </c:pt>
              </c:strCache>
            </c:strRef>
          </c:tx>
          <c:spPr>
            <a:solidFill>
              <a:schemeClr val="accent4"/>
            </a:solidFill>
            <a:ln>
              <a:noFill/>
            </a:ln>
            <a:effectLst/>
          </c:spPr>
          <c:invertIfNegative val="0"/>
          <c:cat>
            <c:strRef>
              <c:f>'Mission_4F Pivots'!$A$60:$A$66</c:f>
              <c:strCache>
                <c:ptCount val="6"/>
                <c:pt idx="0">
                  <c:v>1 installment</c:v>
                </c:pt>
                <c:pt idx="1">
                  <c:v>13+ installments</c:v>
                </c:pt>
                <c:pt idx="2">
                  <c:v>2 installments</c:v>
                </c:pt>
                <c:pt idx="3">
                  <c:v>3–6 installments</c:v>
                </c:pt>
                <c:pt idx="4">
                  <c:v>7–12 installments</c:v>
                </c:pt>
                <c:pt idx="5">
                  <c:v>Invalid (below 1)</c:v>
                </c:pt>
              </c:strCache>
            </c:strRef>
          </c:cat>
          <c:val>
            <c:numRef>
              <c:f>'Mission_4F Pivots'!$E$60:$E$66</c:f>
              <c:numCache>
                <c:formatCode>General</c:formatCode>
                <c:ptCount val="6"/>
                <c:pt idx="0">
                  <c:v>3</c:v>
                </c:pt>
              </c:numCache>
            </c:numRef>
          </c:val>
          <c:extLst>
            <c:ext xmlns:c16="http://schemas.microsoft.com/office/drawing/2014/chart" uri="{C3380CC4-5D6E-409C-BE32-E72D297353CC}">
              <c16:uniqueId val="{00000003-AA99-49BA-86AB-00940B88AC38}"/>
            </c:ext>
          </c:extLst>
        </c:ser>
        <c:ser>
          <c:idx val="4"/>
          <c:order val="4"/>
          <c:tx>
            <c:strRef>
              <c:f>'Mission_4F Pivots'!$F$58:$F$59</c:f>
              <c:strCache>
                <c:ptCount val="1"/>
                <c:pt idx="0">
                  <c:v>voucher</c:v>
                </c:pt>
              </c:strCache>
            </c:strRef>
          </c:tx>
          <c:spPr>
            <a:solidFill>
              <a:schemeClr val="accent5"/>
            </a:solidFill>
            <a:ln>
              <a:noFill/>
            </a:ln>
            <a:effectLst/>
          </c:spPr>
          <c:invertIfNegative val="0"/>
          <c:cat>
            <c:strRef>
              <c:f>'Mission_4F Pivots'!$A$60:$A$66</c:f>
              <c:strCache>
                <c:ptCount val="6"/>
                <c:pt idx="0">
                  <c:v>1 installment</c:v>
                </c:pt>
                <c:pt idx="1">
                  <c:v>13+ installments</c:v>
                </c:pt>
                <c:pt idx="2">
                  <c:v>2 installments</c:v>
                </c:pt>
                <c:pt idx="3">
                  <c:v>3–6 installments</c:v>
                </c:pt>
                <c:pt idx="4">
                  <c:v>7–12 installments</c:v>
                </c:pt>
                <c:pt idx="5">
                  <c:v>Invalid (below 1)</c:v>
                </c:pt>
              </c:strCache>
            </c:strRef>
          </c:cat>
          <c:val>
            <c:numRef>
              <c:f>'Mission_4F Pivots'!$F$60:$F$66</c:f>
              <c:numCache>
                <c:formatCode>General</c:formatCode>
                <c:ptCount val="6"/>
                <c:pt idx="0">
                  <c:v>5775</c:v>
                </c:pt>
              </c:numCache>
            </c:numRef>
          </c:val>
          <c:extLst>
            <c:ext xmlns:c16="http://schemas.microsoft.com/office/drawing/2014/chart" uri="{C3380CC4-5D6E-409C-BE32-E72D297353CC}">
              <c16:uniqueId val="{00000004-AA99-49BA-86AB-00940B88AC38}"/>
            </c:ext>
          </c:extLst>
        </c:ser>
        <c:dLbls>
          <c:showLegendKey val="0"/>
          <c:showVal val="0"/>
          <c:showCatName val="0"/>
          <c:showSerName val="0"/>
          <c:showPercent val="0"/>
          <c:showBubbleSize val="0"/>
        </c:dLbls>
        <c:gapWidth val="219"/>
        <c:overlap val="-27"/>
        <c:axId val="2135604175"/>
        <c:axId val="2135609935"/>
      </c:barChart>
      <c:catAx>
        <c:axId val="2135604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609935"/>
        <c:crosses val="autoZero"/>
        <c:auto val="1"/>
        <c:lblAlgn val="ctr"/>
        <c:lblOffset val="100"/>
        <c:noMultiLvlLbl val="0"/>
      </c:catAx>
      <c:valAx>
        <c:axId val="21356099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604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45720</xdr:colOff>
      <xdr:row>10</xdr:row>
      <xdr:rowOff>19050</xdr:rowOff>
    </xdr:from>
    <xdr:to>
      <xdr:col>5</xdr:col>
      <xdr:colOff>403860</xdr:colOff>
      <xdr:row>25</xdr:row>
      <xdr:rowOff>19050</xdr:rowOff>
    </xdr:to>
    <xdr:graphicFrame macro="">
      <xdr:nvGraphicFramePr>
        <xdr:cNvPr id="2" name="Chart 1">
          <a:extLst>
            <a:ext uri="{FF2B5EF4-FFF2-40B4-BE49-F238E27FC236}">
              <a16:creationId xmlns:a16="http://schemas.microsoft.com/office/drawing/2014/main" id="{E5698F0B-0C35-A2D7-E5A9-1BB6B9F2CF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xdr:colOff>
      <xdr:row>36</xdr:row>
      <xdr:rowOff>156210</xdr:rowOff>
    </xdr:from>
    <xdr:to>
      <xdr:col>5</xdr:col>
      <xdr:colOff>83820</xdr:colOff>
      <xdr:row>51</xdr:row>
      <xdr:rowOff>156210</xdr:rowOff>
    </xdr:to>
    <xdr:graphicFrame macro="">
      <xdr:nvGraphicFramePr>
        <xdr:cNvPr id="4" name="Chart 3">
          <a:extLst>
            <a:ext uri="{FF2B5EF4-FFF2-40B4-BE49-F238E27FC236}">
              <a16:creationId xmlns:a16="http://schemas.microsoft.com/office/drawing/2014/main" id="{427418FB-9997-3B2D-B490-6B8C7E0481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53340</xdr:colOff>
      <xdr:row>70</xdr:row>
      <xdr:rowOff>3810</xdr:rowOff>
    </xdr:from>
    <xdr:to>
      <xdr:col>4</xdr:col>
      <xdr:colOff>335280</xdr:colOff>
      <xdr:row>85</xdr:row>
      <xdr:rowOff>3810</xdr:rowOff>
    </xdr:to>
    <xdr:graphicFrame macro="">
      <xdr:nvGraphicFramePr>
        <xdr:cNvPr id="5" name="Chart 4">
          <a:extLst>
            <a:ext uri="{FF2B5EF4-FFF2-40B4-BE49-F238E27FC236}">
              <a16:creationId xmlns:a16="http://schemas.microsoft.com/office/drawing/2014/main" id="{10621074-EF39-FBF0-2F24-C73375C686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ya mittal" refreshedDate="46317.820683101854" createdVersion="8" refreshedVersion="8" minRefreshableVersion="3" recordCount="10" xr:uid="{9A12F8EA-566D-46FC-AAA0-BC30ACDE7DD3}">
  <cacheSource type="worksheet">
    <worksheetSource name="phase4f_3_payment_method_by_installment_count"/>
  </cacheSource>
  <cacheFields count="4">
    <cacheField name="payment_type" numFmtId="0">
      <sharedItems count="5">
        <s v="boleto"/>
        <s v="credit_card"/>
        <s v="debit_card"/>
        <s v="not_defined"/>
        <s v="voucher"/>
      </sharedItems>
    </cacheField>
    <cacheField name="installment_band" numFmtId="0">
      <sharedItems count="6">
        <s v="1 installment"/>
        <s v="2 installments"/>
        <s v="3–6 installments"/>
        <s v="7–12 installments"/>
        <s v="13+ installments"/>
        <s v="Invalid (below 1)"/>
      </sharedItems>
    </cacheField>
    <cacheField name="payment_record_count" numFmtId="0">
      <sharedItems containsSemiMixedTypes="0" containsString="0" containsNumber="1" containsInteger="1" minValue="2" maxValue="26718"/>
    </cacheField>
    <cacheField name="total_payment_value" numFmtId="0">
      <sharedItems containsSemiMixedTypes="0" containsString="0" containsNumber="1" minValue="0" maxValue="4438797.519999999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n v="19784"/>
    <n v="2869361.27"/>
  </r>
  <r>
    <x v="1"/>
    <x v="0"/>
    <n v="25455"/>
    <n v="2440445.4300000002"/>
  </r>
  <r>
    <x v="1"/>
    <x v="1"/>
    <n v="12413"/>
    <n v="1579283.03"/>
  </r>
  <r>
    <x v="1"/>
    <x v="2"/>
    <n v="26718"/>
    <n v="4438797.5199999996"/>
  </r>
  <r>
    <x v="1"/>
    <x v="3"/>
    <n v="12022"/>
    <n v="4006830.67"/>
  </r>
  <r>
    <x v="1"/>
    <x v="4"/>
    <n v="185"/>
    <n v="76538.91"/>
  </r>
  <r>
    <x v="1"/>
    <x v="5"/>
    <n v="2"/>
    <n v="188.63"/>
  </r>
  <r>
    <x v="2"/>
    <x v="0"/>
    <n v="1529"/>
    <n v="217989.79"/>
  </r>
  <r>
    <x v="3"/>
    <x v="0"/>
    <n v="3"/>
    <n v="0"/>
  </r>
  <r>
    <x v="4"/>
    <x v="0"/>
    <n v="5775"/>
    <n v="379436.8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610E3C-24AD-46BA-A685-D89A715C17A4}"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8:G66" firstHeaderRow="1" firstDataRow="2" firstDataCol="1"/>
  <pivotFields count="4">
    <pivotField axis="axisCol" showAll="0">
      <items count="6">
        <item x="0"/>
        <item x="1"/>
        <item x="2"/>
        <item x="3"/>
        <item x="4"/>
        <item t="default"/>
      </items>
    </pivotField>
    <pivotField axis="axisRow" showAll="0">
      <items count="7">
        <item x="0"/>
        <item x="4"/>
        <item x="1"/>
        <item x="2"/>
        <item x="3"/>
        <item x="5"/>
        <item t="default"/>
      </items>
    </pivotField>
    <pivotField dataField="1" showAll="0"/>
    <pivotField showAll="0"/>
  </pivotFields>
  <rowFields count="1">
    <field x="1"/>
  </rowFields>
  <rowItems count="7">
    <i>
      <x/>
    </i>
    <i>
      <x v="1"/>
    </i>
    <i>
      <x v="2"/>
    </i>
    <i>
      <x v="3"/>
    </i>
    <i>
      <x v="4"/>
    </i>
    <i>
      <x v="5"/>
    </i>
    <i t="grand">
      <x/>
    </i>
  </rowItems>
  <colFields count="1">
    <field x="0"/>
  </colFields>
  <colItems count="6">
    <i>
      <x/>
    </i>
    <i>
      <x v="1"/>
    </i>
    <i>
      <x v="2"/>
    </i>
    <i>
      <x v="3"/>
    </i>
    <i>
      <x v="4"/>
    </i>
    <i t="grand">
      <x/>
    </i>
  </colItems>
  <dataFields count="1">
    <dataField name="Sum of payment_record_count" fld="2" baseField="0" baseItem="0"/>
  </dataFields>
  <chartFormats count="5">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1" format="2" series="1">
      <pivotArea type="data" outline="0" fieldPosition="0">
        <references count="2">
          <reference field="4294967294" count="1" selected="0">
            <x v="0"/>
          </reference>
          <reference field="0" count="1" selected="0">
            <x v="2"/>
          </reference>
        </references>
      </pivotArea>
    </chartFormat>
    <chartFormat chart="1" format="3" series="1">
      <pivotArea type="data" outline="0" fieldPosition="0">
        <references count="2">
          <reference field="4294967294" count="1" selected="0">
            <x v="0"/>
          </reference>
          <reference field="0" count="1" selected="0">
            <x v="3"/>
          </reference>
        </references>
      </pivotArea>
    </chartFormat>
    <chartFormat chart="1" format="4" series="1">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20F4C55-2354-4B02-912C-58F3D3869938}" autoFormatId="16" applyNumberFormats="0" applyBorderFormats="0" applyFontFormats="0" applyPatternFormats="0" applyAlignmentFormats="0" applyWidthHeightFormats="0">
  <queryTableRefresh nextId="6">
    <queryTableFields count="5">
      <queryTableField id="1" name="payment_type" tableColumnId="1"/>
      <queryTableField id="2" name="payment_record_count" tableColumnId="2"/>
      <queryTableField id="3" name="total_payment_value" tableColumnId="3"/>
      <queryTableField id="4" name="avg_payment_record_value" tableColumnId="4"/>
      <queryTableField id="5" name="payment_record_share_pct"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7305E78D-AF58-408C-8745-0777319D1419}" autoFormatId="16" applyNumberFormats="0" applyBorderFormats="0" applyFontFormats="0" applyPatternFormats="0" applyAlignmentFormats="0" applyWidthHeightFormats="0">
  <queryTableRefresh nextId="6">
    <queryTableFields count="5">
      <queryTableField id="1" name="installment_band" tableColumnId="1"/>
      <queryTableField id="2" name="payment_record_count" tableColumnId="2"/>
      <queryTableField id="3" name="total_payment_value" tableColumnId="3"/>
      <queryTableField id="4" name="avg_payment_record_value" tableColumnId="4"/>
      <queryTableField id="5" name="payment_record_share_pct"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53BB41C7-51A4-4893-B297-EBB35BCE65F3}" autoFormatId="16" applyNumberFormats="0" applyBorderFormats="0" applyFontFormats="0" applyPatternFormats="0" applyAlignmentFormats="0" applyWidthHeightFormats="0">
  <queryTableRefresh nextId="5">
    <queryTableFields count="4">
      <queryTableField id="1" name="payment_type" tableColumnId="1"/>
      <queryTableField id="2" name="installment_band" tableColumnId="2"/>
      <queryTableField id="3" name="payment_record_count" tableColumnId="3"/>
      <queryTableField id="4" name="total_payment_value"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E68C60-FEF7-40DC-819F-0679D13C2004}" name="phase4f_1_payment_method_mix" displayName="phase4f_1_payment_method_mix" ref="A1:E6" tableType="queryTable" totalsRowShown="0">
  <autoFilter ref="A1:E6" xr:uid="{23E68C60-FEF7-40DC-819F-0679D13C2004}"/>
  <tableColumns count="5">
    <tableColumn id="1" xr3:uid="{05D37DC4-E6FB-44BE-B7F8-07D34DDB5BC7}" uniqueName="1" name="payment_type" queryTableFieldId="1" dataDxfId="15"/>
    <tableColumn id="2" xr3:uid="{50A7A13D-12C3-4469-85F7-CB998763685A}" uniqueName="2" name="payment_record_count" queryTableFieldId="2"/>
    <tableColumn id="3" xr3:uid="{19F40E27-6177-42DF-BF4C-7244D4EB3151}" uniqueName="3" name="total_payment_value" queryTableFieldId="3"/>
    <tableColumn id="4" xr3:uid="{803EC938-A9CA-47EA-A7D6-81A0A8E528F2}" uniqueName="4" name="avg_payment_record_value" queryTableFieldId="4"/>
    <tableColumn id="5" xr3:uid="{7DF45A63-41E3-48F8-A7EB-3BED410EAA24}" uniqueName="5" name="payment_record_share_pct" queryTableField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E3C19A-8E91-4185-B449-3A7B5D5C8AA9}" name="phase4f_2_payment_installment_distribution" displayName="phase4f_2_payment_installment_distribution" ref="A1:E7" tableType="queryTable" totalsRowShown="0">
  <autoFilter ref="A1:E7" xr:uid="{E5E3C19A-8E91-4185-B449-3A7B5D5C8AA9}"/>
  <tableColumns count="5">
    <tableColumn id="1" xr3:uid="{A928A614-C7D4-4FE4-8460-5B240E7A13A7}" uniqueName="1" name="installment_band" queryTableFieldId="1" dataDxfId="14"/>
    <tableColumn id="2" xr3:uid="{10192F23-ADEF-4339-BBDA-20DBA9073E23}" uniqueName="2" name="payment_record_count" queryTableFieldId="2"/>
    <tableColumn id="3" xr3:uid="{21721C79-9E60-41FA-B260-286F815FC75D}" uniqueName="3" name="total_payment_value" queryTableFieldId="3"/>
    <tableColumn id="4" xr3:uid="{6FCCE5EE-491B-4A28-AFA5-320C7771900A}" uniqueName="4" name="avg_payment_record_value" queryTableFieldId="4"/>
    <tableColumn id="5" xr3:uid="{0C1A9A73-E2B3-491A-B7D5-2A662D0921C6}" uniqueName="5" name="payment_record_share_pct" queryTableField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F1AE0FE-EEB3-4C9A-B25F-62E8DD0FA0A5}" name="phase4f_3_payment_method_by_installment_count" displayName="phase4f_3_payment_method_by_installment_count" ref="A1:D11" tableType="queryTable" totalsRowShown="0">
  <autoFilter ref="A1:D11" xr:uid="{3F1AE0FE-EEB3-4C9A-B25F-62E8DD0FA0A5}"/>
  <tableColumns count="4">
    <tableColumn id="1" xr3:uid="{E7D01A40-DBC9-4A1E-9AF3-347185E72739}" uniqueName="1" name="payment_type" queryTableFieldId="1" dataDxfId="13"/>
    <tableColumn id="2" xr3:uid="{3C4E42BB-4D1E-4C1D-A051-1D155C9D0E8C}" uniqueName="2" name="installment_band" queryTableFieldId="2" dataDxfId="12"/>
    <tableColumn id="3" xr3:uid="{45D93CFF-48F7-4101-9C66-59308B100389}" uniqueName="3" name="payment_record_count" queryTableFieldId="3"/>
    <tableColumn id="4" xr3:uid="{56AAC31B-C042-440A-B615-F172C0D9E3A4}" uniqueName="4" name="total_payment_value" queryTableFieldId="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DBA677D-C4CE-4959-A21C-DC4BE4320B0A}" name="Table4" displayName="Table4" ref="A3:B8" totalsRowShown="0" dataDxfId="6" headerRowBorderDxfId="10" tableBorderDxfId="11" totalsRowBorderDxfId="9">
  <autoFilter ref="A3:B8" xr:uid="{9DBA677D-C4CE-4959-A21C-DC4BE4320B0A}"/>
  <tableColumns count="2">
    <tableColumn id="1" xr3:uid="{46DE4201-E525-4748-AB0C-095DB0AB8D65}" name="payment_type" dataDxfId="8"/>
    <tableColumn id="2" xr3:uid="{9E99D72B-D113-4CDB-8F02-0AC9ED1B6F8E}" name="total_payment_value" dataDxfId="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C4A080A-9751-44AB-9B89-C30F6377335A}" name="Table5" displayName="Table5" ref="A30:B36" totalsRowShown="0" dataDxfId="0" headerRowBorderDxfId="4" tableBorderDxfId="5" totalsRowBorderDxfId="3">
  <autoFilter ref="A30:B36" xr:uid="{9C4A080A-9751-44AB-9B89-C30F6377335A}"/>
  <tableColumns count="2">
    <tableColumn id="1" xr3:uid="{AD23C223-FA52-4959-A83F-0D93D44DC761}" name="installment_band" dataDxfId="2"/>
    <tableColumn id="2" xr3:uid="{DF0B5A6C-30FA-4417-BAC9-02A52348C2C5}" name="payment_record_count"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1.xml"/><Relationship Id="rId1" Type="http://schemas.openxmlformats.org/officeDocument/2006/relationships/pivotTable" Target="../pivotTables/pivotTable1.xml"/><Relationship Id="rId4"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DA532-9B4B-4182-9A77-DA2B174BD2C2}">
  <dimension ref="A1:E6"/>
  <sheetViews>
    <sheetView workbookViewId="0">
      <selection activeCell="B26" sqref="B26"/>
    </sheetView>
  </sheetViews>
  <sheetFormatPr defaultRowHeight="14.4"/>
  <cols>
    <col min="1" max="1" width="15" bestFit="1" customWidth="1"/>
    <col min="2" max="2" width="22.44140625" bestFit="1" customWidth="1"/>
    <col min="3" max="3" width="20.6640625" bestFit="1" customWidth="1"/>
    <col min="4" max="4" width="25.88671875" bestFit="1" customWidth="1"/>
    <col min="5" max="5" width="26" bestFit="1" customWidth="1"/>
  </cols>
  <sheetData>
    <row r="1" spans="1:5">
      <c r="A1" t="s">
        <v>0</v>
      </c>
      <c r="B1" s="3" t="s">
        <v>1</v>
      </c>
      <c r="C1" s="2" t="s">
        <v>2</v>
      </c>
      <c r="D1" s="2" t="s">
        <v>3</v>
      </c>
      <c r="E1" s="2" t="s">
        <v>4</v>
      </c>
    </row>
    <row r="2" spans="1:5">
      <c r="A2" t="s">
        <v>5</v>
      </c>
      <c r="B2">
        <v>76795</v>
      </c>
      <c r="C2">
        <v>12542084.189999999</v>
      </c>
      <c r="D2">
        <v>163.32</v>
      </c>
      <c r="E2">
        <v>73.92</v>
      </c>
    </row>
    <row r="3" spans="1:5">
      <c r="A3" t="s">
        <v>6</v>
      </c>
      <c r="B3">
        <v>19784</v>
      </c>
      <c r="C3">
        <v>2869361.27</v>
      </c>
      <c r="D3">
        <v>145.03</v>
      </c>
      <c r="E3">
        <v>19.04</v>
      </c>
    </row>
    <row r="4" spans="1:5">
      <c r="A4" t="s">
        <v>7</v>
      </c>
      <c r="B4">
        <v>5775</v>
      </c>
      <c r="C4">
        <v>379436.87</v>
      </c>
      <c r="D4">
        <v>65.7</v>
      </c>
      <c r="E4">
        <v>5.56</v>
      </c>
    </row>
    <row r="5" spans="1:5">
      <c r="A5" t="s">
        <v>8</v>
      </c>
      <c r="B5">
        <v>1529</v>
      </c>
      <c r="C5">
        <v>217989.79</v>
      </c>
      <c r="D5">
        <v>142.57</v>
      </c>
      <c r="E5">
        <v>1.47</v>
      </c>
    </row>
    <row r="6" spans="1:5">
      <c r="A6" t="s">
        <v>9</v>
      </c>
      <c r="B6">
        <v>3</v>
      </c>
      <c r="C6">
        <v>0</v>
      </c>
      <c r="D6">
        <v>0</v>
      </c>
      <c r="E6">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0250B-0BED-4213-9C68-33CF8FCAEAFD}">
  <dimension ref="A1:E7"/>
  <sheetViews>
    <sheetView workbookViewId="0">
      <selection activeCell="B25" sqref="B25"/>
    </sheetView>
  </sheetViews>
  <sheetFormatPr defaultRowHeight="14.4"/>
  <cols>
    <col min="1" max="1" width="17.88671875" bestFit="1" customWidth="1"/>
    <col min="2" max="2" width="22.44140625" bestFit="1" customWidth="1"/>
    <col min="3" max="3" width="20.6640625" bestFit="1" customWidth="1"/>
    <col min="4" max="4" width="25.88671875" bestFit="1" customWidth="1"/>
    <col min="5" max="5" width="26" bestFit="1" customWidth="1"/>
  </cols>
  <sheetData>
    <row r="1" spans="1:5">
      <c r="A1" s="1" t="s">
        <v>10</v>
      </c>
      <c r="B1" s="2" t="s">
        <v>1</v>
      </c>
      <c r="C1" s="2" t="s">
        <v>2</v>
      </c>
      <c r="D1" s="2" t="s">
        <v>3</v>
      </c>
      <c r="E1" s="2" t="s">
        <v>4</v>
      </c>
    </row>
    <row r="2" spans="1:5">
      <c r="A2" t="s">
        <v>11</v>
      </c>
      <c r="B2">
        <v>52546</v>
      </c>
      <c r="C2">
        <v>5907233.3600000003</v>
      </c>
      <c r="D2">
        <v>112.42</v>
      </c>
      <c r="E2">
        <v>50.58</v>
      </c>
    </row>
    <row r="3" spans="1:5">
      <c r="A3" t="s">
        <v>12</v>
      </c>
      <c r="B3">
        <v>12413</v>
      </c>
      <c r="C3">
        <v>1579283.03</v>
      </c>
      <c r="D3">
        <v>127.23</v>
      </c>
      <c r="E3">
        <v>11.95</v>
      </c>
    </row>
    <row r="4" spans="1:5">
      <c r="A4" t="s">
        <v>13</v>
      </c>
      <c r="B4">
        <v>26718</v>
      </c>
      <c r="C4">
        <v>4438797.5199999996</v>
      </c>
      <c r="D4">
        <v>166.14</v>
      </c>
      <c r="E4">
        <v>25.72</v>
      </c>
    </row>
    <row r="5" spans="1:5">
      <c r="A5" t="s">
        <v>14</v>
      </c>
      <c r="B5">
        <v>12022</v>
      </c>
      <c r="C5">
        <v>4006830.67</v>
      </c>
      <c r="D5">
        <v>333.29</v>
      </c>
      <c r="E5">
        <v>11.57</v>
      </c>
    </row>
    <row r="6" spans="1:5">
      <c r="A6" t="s">
        <v>15</v>
      </c>
      <c r="B6">
        <v>185</v>
      </c>
      <c r="C6">
        <v>76538.91</v>
      </c>
      <c r="D6">
        <v>413.72</v>
      </c>
      <c r="E6">
        <v>0.18</v>
      </c>
    </row>
    <row r="7" spans="1:5">
      <c r="A7" t="s">
        <v>16</v>
      </c>
      <c r="B7">
        <v>2</v>
      </c>
      <c r="C7">
        <v>188.63</v>
      </c>
      <c r="D7">
        <v>94.32</v>
      </c>
      <c r="E7">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C9854-3CAA-492D-B1F5-D9E94A6B213D}">
  <dimension ref="A1:D11"/>
  <sheetViews>
    <sheetView workbookViewId="0">
      <selection activeCell="B1" sqref="B1"/>
    </sheetView>
  </sheetViews>
  <sheetFormatPr defaultRowHeight="14.4"/>
  <cols>
    <col min="1" max="1" width="15" bestFit="1" customWidth="1"/>
    <col min="2" max="2" width="17.88671875" bestFit="1" customWidth="1"/>
    <col min="3" max="3" width="22.44140625" bestFit="1" customWidth="1"/>
    <col min="4" max="4" width="20.6640625" bestFit="1" customWidth="1"/>
  </cols>
  <sheetData>
    <row r="1" spans="1:4">
      <c r="A1" s="1" t="s">
        <v>0</v>
      </c>
      <c r="B1" s="1" t="s">
        <v>10</v>
      </c>
      <c r="C1" s="3" t="s">
        <v>1</v>
      </c>
      <c r="D1" s="2" t="s">
        <v>2</v>
      </c>
    </row>
    <row r="2" spans="1:4">
      <c r="A2" t="s">
        <v>6</v>
      </c>
      <c r="B2" t="s">
        <v>11</v>
      </c>
      <c r="C2">
        <v>19784</v>
      </c>
      <c r="D2">
        <v>2869361.27</v>
      </c>
    </row>
    <row r="3" spans="1:4">
      <c r="A3" t="s">
        <v>5</v>
      </c>
      <c r="B3" t="s">
        <v>11</v>
      </c>
      <c r="C3">
        <v>25455</v>
      </c>
      <c r="D3">
        <v>2440445.4300000002</v>
      </c>
    </row>
    <row r="4" spans="1:4">
      <c r="A4" t="s">
        <v>5</v>
      </c>
      <c r="B4" t="s">
        <v>12</v>
      </c>
      <c r="C4">
        <v>12413</v>
      </c>
      <c r="D4">
        <v>1579283.03</v>
      </c>
    </row>
    <row r="5" spans="1:4">
      <c r="A5" t="s">
        <v>5</v>
      </c>
      <c r="B5" t="s">
        <v>13</v>
      </c>
      <c r="C5">
        <v>26718</v>
      </c>
      <c r="D5">
        <v>4438797.5199999996</v>
      </c>
    </row>
    <row r="6" spans="1:4">
      <c r="A6" t="s">
        <v>5</v>
      </c>
      <c r="B6" t="s">
        <v>14</v>
      </c>
      <c r="C6">
        <v>12022</v>
      </c>
      <c r="D6">
        <v>4006830.67</v>
      </c>
    </row>
    <row r="7" spans="1:4">
      <c r="A7" t="s">
        <v>5</v>
      </c>
      <c r="B7" t="s">
        <v>15</v>
      </c>
      <c r="C7">
        <v>185</v>
      </c>
      <c r="D7">
        <v>76538.91</v>
      </c>
    </row>
    <row r="8" spans="1:4">
      <c r="A8" t="s">
        <v>5</v>
      </c>
      <c r="B8" t="s">
        <v>16</v>
      </c>
      <c r="C8">
        <v>2</v>
      </c>
      <c r="D8">
        <v>188.63</v>
      </c>
    </row>
    <row r="9" spans="1:4">
      <c r="A9" t="s">
        <v>8</v>
      </c>
      <c r="B9" t="s">
        <v>11</v>
      </c>
      <c r="C9">
        <v>1529</v>
      </c>
      <c r="D9">
        <v>217989.79</v>
      </c>
    </row>
    <row r="10" spans="1:4">
      <c r="A10" t="s">
        <v>9</v>
      </c>
      <c r="B10" t="s">
        <v>11</v>
      </c>
      <c r="C10">
        <v>3</v>
      </c>
      <c r="D10">
        <v>0</v>
      </c>
    </row>
    <row r="11" spans="1:4">
      <c r="A11" t="s">
        <v>7</v>
      </c>
      <c r="B11" t="s">
        <v>11</v>
      </c>
      <c r="C11">
        <v>5775</v>
      </c>
      <c r="D11">
        <v>379436.87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A8109-36AA-4014-B841-59C491A6F8A7}">
  <dimension ref="A1:G69"/>
  <sheetViews>
    <sheetView topLeftCell="A56" workbookViewId="0">
      <selection activeCell="M70" sqref="M70"/>
    </sheetView>
  </sheetViews>
  <sheetFormatPr defaultRowHeight="14.4"/>
  <cols>
    <col min="1" max="1" width="26.44140625" bestFit="1" customWidth="1"/>
    <col min="2" max="2" width="15.5546875" bestFit="1" customWidth="1"/>
    <col min="3" max="3" width="10.5546875" bestFit="1" customWidth="1"/>
    <col min="4" max="4" width="10" bestFit="1" customWidth="1"/>
    <col min="5" max="5" width="10.77734375" bestFit="1" customWidth="1"/>
    <col min="6" max="6" width="7.5546875" bestFit="1" customWidth="1"/>
    <col min="7" max="7" width="10.5546875" bestFit="1" customWidth="1"/>
  </cols>
  <sheetData>
    <row r="1" spans="1:2">
      <c r="A1" s="6" t="s">
        <v>17</v>
      </c>
    </row>
    <row r="3" spans="1:2">
      <c r="A3" s="7" t="s">
        <v>0</v>
      </c>
      <c r="B3" s="8" t="s">
        <v>2</v>
      </c>
    </row>
    <row r="4" spans="1:2">
      <c r="A4" s="4" t="s">
        <v>5</v>
      </c>
      <c r="B4" s="4">
        <v>12542084.189999999</v>
      </c>
    </row>
    <row r="5" spans="1:2">
      <c r="A5" s="5" t="s">
        <v>6</v>
      </c>
      <c r="B5" s="5">
        <v>2869361.27</v>
      </c>
    </row>
    <row r="6" spans="1:2">
      <c r="A6" s="4" t="s">
        <v>7</v>
      </c>
      <c r="B6" s="4">
        <v>379436.87</v>
      </c>
    </row>
    <row r="7" spans="1:2">
      <c r="A7" s="5" t="s">
        <v>8</v>
      </c>
      <c r="B7" s="5">
        <v>217989.79</v>
      </c>
    </row>
    <row r="8" spans="1:2">
      <c r="A8" s="9" t="s">
        <v>9</v>
      </c>
      <c r="B8" s="9">
        <v>0</v>
      </c>
    </row>
    <row r="28" spans="1:2">
      <c r="A28" s="6" t="s">
        <v>27</v>
      </c>
    </row>
    <row r="30" spans="1:2">
      <c r="A30" s="13" t="s">
        <v>10</v>
      </c>
      <c r="B30" s="8" t="s">
        <v>1</v>
      </c>
    </row>
    <row r="31" spans="1:2">
      <c r="A31" s="4" t="s">
        <v>11</v>
      </c>
      <c r="B31" s="4">
        <v>52546</v>
      </c>
    </row>
    <row r="32" spans="1:2">
      <c r="A32" s="5" t="s">
        <v>12</v>
      </c>
      <c r="B32" s="5">
        <v>12413</v>
      </c>
    </row>
    <row r="33" spans="1:2">
      <c r="A33" s="4" t="s">
        <v>13</v>
      </c>
      <c r="B33" s="4">
        <v>26718</v>
      </c>
    </row>
    <row r="34" spans="1:2">
      <c r="A34" s="5" t="s">
        <v>14</v>
      </c>
      <c r="B34" s="5">
        <v>12022</v>
      </c>
    </row>
    <row r="35" spans="1:2">
      <c r="A35" s="4" t="s">
        <v>15</v>
      </c>
      <c r="B35" s="4">
        <v>185</v>
      </c>
    </row>
    <row r="36" spans="1:2">
      <c r="A36" s="14" t="s">
        <v>16</v>
      </c>
      <c r="B36" s="14">
        <v>2</v>
      </c>
    </row>
    <row r="55" spans="1:7">
      <c r="A55" s="6" t="s">
        <v>28</v>
      </c>
    </row>
    <row r="58" spans="1:7">
      <c r="A58" s="15" t="s">
        <v>32</v>
      </c>
      <c r="B58" s="15" t="s">
        <v>31</v>
      </c>
    </row>
    <row r="59" spans="1:7">
      <c r="A59" s="15" t="s">
        <v>29</v>
      </c>
      <c r="B59" t="s">
        <v>6</v>
      </c>
      <c r="C59" t="s">
        <v>5</v>
      </c>
      <c r="D59" t="s">
        <v>8</v>
      </c>
      <c r="E59" t="s">
        <v>9</v>
      </c>
      <c r="F59" t="s">
        <v>7</v>
      </c>
      <c r="G59" t="s">
        <v>30</v>
      </c>
    </row>
    <row r="60" spans="1:7">
      <c r="A60" s="16" t="s">
        <v>11</v>
      </c>
      <c r="B60" s="17">
        <v>19784</v>
      </c>
      <c r="C60" s="17">
        <v>25455</v>
      </c>
      <c r="D60" s="17">
        <v>1529</v>
      </c>
      <c r="E60" s="17">
        <v>3</v>
      </c>
      <c r="F60" s="17">
        <v>5775</v>
      </c>
      <c r="G60" s="17">
        <v>52546</v>
      </c>
    </row>
    <row r="61" spans="1:7">
      <c r="A61" s="16" t="s">
        <v>15</v>
      </c>
      <c r="B61" s="17"/>
      <c r="C61" s="17">
        <v>185</v>
      </c>
      <c r="D61" s="17"/>
      <c r="E61" s="17"/>
      <c r="F61" s="17"/>
      <c r="G61" s="17">
        <v>185</v>
      </c>
    </row>
    <row r="62" spans="1:7">
      <c r="A62" s="16" t="s">
        <v>12</v>
      </c>
      <c r="B62" s="17"/>
      <c r="C62" s="17">
        <v>12413</v>
      </c>
      <c r="D62" s="17"/>
      <c r="E62" s="17"/>
      <c r="F62" s="17"/>
      <c r="G62" s="17">
        <v>12413</v>
      </c>
    </row>
    <row r="63" spans="1:7">
      <c r="A63" s="16" t="s">
        <v>13</v>
      </c>
      <c r="B63" s="17"/>
      <c r="C63" s="17">
        <v>26718</v>
      </c>
      <c r="D63" s="17"/>
      <c r="E63" s="17"/>
      <c r="F63" s="17"/>
      <c r="G63" s="17">
        <v>26718</v>
      </c>
    </row>
    <row r="64" spans="1:7">
      <c r="A64" s="16" t="s">
        <v>14</v>
      </c>
      <c r="B64" s="17"/>
      <c r="C64" s="17">
        <v>12022</v>
      </c>
      <c r="D64" s="17"/>
      <c r="E64" s="17"/>
      <c r="F64" s="17"/>
      <c r="G64" s="17">
        <v>12022</v>
      </c>
    </row>
    <row r="65" spans="1:7">
      <c r="A65" s="16" t="s">
        <v>16</v>
      </c>
      <c r="B65" s="17"/>
      <c r="C65" s="17">
        <v>2</v>
      </c>
      <c r="D65" s="17"/>
      <c r="E65" s="17"/>
      <c r="F65" s="17"/>
      <c r="G65" s="17">
        <v>2</v>
      </c>
    </row>
    <row r="66" spans="1:7">
      <c r="A66" s="16" t="s">
        <v>30</v>
      </c>
      <c r="B66" s="17">
        <v>19784</v>
      </c>
      <c r="C66" s="17">
        <v>76795</v>
      </c>
      <c r="D66" s="17">
        <v>1529</v>
      </c>
      <c r="E66" s="17">
        <v>3</v>
      </c>
      <c r="F66" s="17">
        <v>5775</v>
      </c>
      <c r="G66" s="17">
        <v>103886</v>
      </c>
    </row>
    <row r="69" spans="1:7">
      <c r="A69" s="6" t="s">
        <v>33</v>
      </c>
    </row>
  </sheetData>
  <pageMargins left="0.7" right="0.7" top="0.75" bottom="0.75" header="0.3" footer="0.3"/>
  <drawing r:id="rId2"/>
  <tableParts count="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F858E-001A-4871-AEC4-1B9F62C9A72C}">
  <dimension ref="A3:A19"/>
  <sheetViews>
    <sheetView tabSelected="1" workbookViewId="0">
      <selection activeCell="A22" sqref="A22"/>
    </sheetView>
  </sheetViews>
  <sheetFormatPr defaultRowHeight="14.4"/>
  <cols>
    <col min="1" max="1" width="150.21875" customWidth="1"/>
  </cols>
  <sheetData>
    <row r="3" spans="1:1" ht="31.2">
      <c r="A3" s="10" t="s">
        <v>19</v>
      </c>
    </row>
    <row r="5" spans="1:1" ht="23.4">
      <c r="A5" s="11" t="s">
        <v>20</v>
      </c>
    </row>
    <row r="7" spans="1:1" ht="28.8">
      <c r="A7" s="12" t="s">
        <v>18</v>
      </c>
    </row>
    <row r="9" spans="1:1" ht="23.4">
      <c r="A9" s="11" t="s">
        <v>21</v>
      </c>
    </row>
    <row r="11" spans="1:1" ht="28.8">
      <c r="A11" s="12" t="s">
        <v>22</v>
      </c>
    </row>
    <row r="13" spans="1:1" ht="23.4">
      <c r="A13" s="11" t="s">
        <v>23</v>
      </c>
    </row>
    <row r="15" spans="1:1" ht="28.8">
      <c r="A15" s="12" t="s">
        <v>24</v>
      </c>
    </row>
    <row r="17" spans="1:1" ht="23.4">
      <c r="A17" s="11" t="s">
        <v>25</v>
      </c>
    </row>
    <row r="19" spans="1:1" ht="28.8">
      <c r="A19" s="12" t="s">
        <v>26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DE300DB-6E0E-44F1-BE5C-37ABEFDB037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Payment Method Mix</vt:lpstr>
      <vt:lpstr>Installment Distribution</vt:lpstr>
      <vt:lpstr>Method vs Installments</vt:lpstr>
      <vt:lpstr>Mission_4F Pivots</vt:lpstr>
      <vt:lpstr>Mission_4F Findings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riya mittal</dc:creator>
  <cp:lastModifiedBy>riya mittal</cp:lastModifiedBy>
  <dcterms:created xsi:type="dcterms:W3CDTF">2026-10-22T23:07:58Z</dcterms:created>
  <dcterms:modified xsi:type="dcterms:W3CDTF">2026-10-22T23:47:23Z</dcterms:modified>
</cp:coreProperties>
</file>