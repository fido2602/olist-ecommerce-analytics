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85e37282ad1bd1e2/Desktop/Olist_Flagship_Project/Excel/"/>
    </mc:Choice>
  </mc:AlternateContent>
  <xr:revisionPtr revIDLastSave="4" documentId="8_{E00DA84B-2FC1-4D32-9E93-0CEBE3F1FD88}" xr6:coauthVersionLast="47" xr6:coauthVersionMax="47" xr10:uidLastSave="{66CB8ACB-A9B1-474E-AD69-A79E7D58BC07}"/>
  <bookViews>
    <workbookView xWindow="-108" yWindow="-108" windowWidth="23256" windowHeight="13896" xr2:uid="{C5EAC14C-B823-43C5-94B9-25CAC390CEEB}"/>
  </bookViews>
  <sheets>
    <sheet name="Mission_4C_Product_Category_P" sheetId="1" r:id="rId1"/>
    <sheet name="Mission 4C.Pivot" sheetId="2" r:id="rId2"/>
    <sheet name="Phase 4C Findings" sheetId="4" r:id="rId3"/>
  </sheet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<sst xmlns="http://schemas.openxmlformats.org/spreadsheetml/2006/main" count="146" uniqueCount="123">
  <si>
    <t>product_category</t>
  </si>
  <si>
    <t>distinct_orders</t>
  </si>
  <si>
    <t>order_item_records</t>
  </si>
  <si>
    <t>item_sales_value</t>
  </si>
  <si>
    <t>average_item_price</t>
  </si>
  <si>
    <t>pct_of_item_sales_value</t>
  </si>
  <si>
    <t>beleza_saude</t>
  </si>
  <si>
    <t>relogios_presentes</t>
  </si>
  <si>
    <t>cama_mesa_banho</t>
  </si>
  <si>
    <t>esporte_lazer</t>
  </si>
  <si>
    <t>informatica_acessorios</t>
  </si>
  <si>
    <t>moveis_decoracao</t>
  </si>
  <si>
    <t>cool_stuff</t>
  </si>
  <si>
    <t>utilidades_domesticas</t>
  </si>
  <si>
    <t>automotivo</t>
  </si>
  <si>
    <t>ferramentas_jardim</t>
  </si>
  <si>
    <t>brinquedos</t>
  </si>
  <si>
    <t>bebes</t>
  </si>
  <si>
    <t>perfumaria</t>
  </si>
  <si>
    <t>telefonia</t>
  </si>
  <si>
    <t>moveis_escritorio</t>
  </si>
  <si>
    <t>papelaria</t>
  </si>
  <si>
    <t>pcs</t>
  </si>
  <si>
    <t>pet_shop</t>
  </si>
  <si>
    <t>instrumentos_musicais</t>
  </si>
  <si>
    <t>eletroportateis</t>
  </si>
  <si>
    <t>Unknown / Unclassified</t>
  </si>
  <si>
    <t>eletronicos</t>
  </si>
  <si>
    <t>consoles_games</t>
  </si>
  <si>
    <t>fashion_bolsas_e_acessorios</t>
  </si>
  <si>
    <t>construcao_ferramentas_construcao</t>
  </si>
  <si>
    <t>malas_acessorios</t>
  </si>
  <si>
    <t>eletrodomesticos_2</t>
  </si>
  <si>
    <t>casa_construcao</t>
  </si>
  <si>
    <t>eletrodomesticos</t>
  </si>
  <si>
    <t>agro_industria_e_comercio</t>
  </si>
  <si>
    <t>moveis_sala</t>
  </si>
  <si>
    <t>telefonia_fixa</t>
  </si>
  <si>
    <t>casa_conforto</t>
  </si>
  <si>
    <t>climatizacao</t>
  </si>
  <si>
    <t>audio</t>
  </si>
  <si>
    <t>portateis_casa_forno_e_cafe</t>
  </si>
  <si>
    <t>livros_interesse_geral</t>
  </si>
  <si>
    <t>moveis_cozinha_area_de_servico_jantar_e_jardim</t>
  </si>
  <si>
    <t>construcao_ferramentas_iluminacao</t>
  </si>
  <si>
    <t>construcao_ferramentas_seguranca</t>
  </si>
  <si>
    <t>industria_comercio_e_negocios</t>
  </si>
  <si>
    <t>alimentos</t>
  </si>
  <si>
    <t>market_place</t>
  </si>
  <si>
    <t>construcao_ferramentas_jardim</t>
  </si>
  <si>
    <t>artes</t>
  </si>
  <si>
    <t>fashion_calcados</t>
  </si>
  <si>
    <t>bebidas</t>
  </si>
  <si>
    <t>sinalizacao_e_seguranca</t>
  </si>
  <si>
    <t>moveis_quarto</t>
  </si>
  <si>
    <t>livros_tecnicos</t>
  </si>
  <si>
    <t>construcao_ferramentas_ferramentas</t>
  </si>
  <si>
    <t>alimentos_bebidas</t>
  </si>
  <si>
    <t>fashion_roupa_masculina</t>
  </si>
  <si>
    <t>fashion_underwear_e_moda_praia</t>
  </si>
  <si>
    <t>artigos_de_natal</t>
  </si>
  <si>
    <t>tablets_impressao_imagem</t>
  </si>
  <si>
    <t>cine_foto</t>
  </si>
  <si>
    <t>musica</t>
  </si>
  <si>
    <t>dvds_blu_ray</t>
  </si>
  <si>
    <t>livros_importados</t>
  </si>
  <si>
    <t>artigos_de_festas</t>
  </si>
  <si>
    <t>moveis_colchao_e_estofado</t>
  </si>
  <si>
    <t>portateis_cozinha_e_preparadores_de_alimentos</t>
  </si>
  <si>
    <t>fashion_roupa_feminina</t>
  </si>
  <si>
    <t>fashion_esporte</t>
  </si>
  <si>
    <t>la_cuisine</t>
  </si>
  <si>
    <t>artes_e_artesanato</t>
  </si>
  <si>
    <t>fraldas_higiene</t>
  </si>
  <si>
    <t>pc_gamer</t>
  </si>
  <si>
    <t>flores</t>
  </si>
  <si>
    <t>casa_conforto_2</t>
  </si>
  <si>
    <t>cds_dvds_musicais</t>
  </si>
  <si>
    <t>fashion_roupa_infanto_juvenil</t>
  </si>
  <si>
    <t>seguros_e_servicos</t>
  </si>
  <si>
    <t>Row Labels</t>
  </si>
  <si>
    <t>Grand Total</t>
  </si>
  <si>
    <t>item Sales Value (R$)</t>
  </si>
  <si>
    <t>Order Item Records</t>
  </si>
  <si>
    <t>Share of Item Sales (%)</t>
  </si>
  <si>
    <t>Average Item Price (R$)</t>
  </si>
  <si>
    <t>Product Category</t>
  </si>
  <si>
    <t>Item Sales Value(R$)</t>
  </si>
  <si>
    <t>Mission 4C.1</t>
  </si>
  <si>
    <t>Mission 4C.2</t>
  </si>
  <si>
    <t>Phase 4C Findings — Product Category Performance</t>
  </si>
  <si>
    <t>Mission 4C.1 — Product Category Performance PivotTable</t>
  </si>
  <si>
    <t>Objective</t>
  </si>
  <si>
    <t>Evaluate product-category performance using item sales value, order-item records, category-level average item price, and percentage contribution to total item sales value.</t>
  </si>
  <si>
    <t>Key Findings</t>
  </si>
  <si>
    <r>
      <t>1. Leading sales category:</t>
    </r>
    <r>
      <rPr>
        <sz val="11"/>
        <color theme="1"/>
        <rFont val="Aptos Narrow"/>
        <family val="2"/>
        <scheme val="minor"/>
      </rPr>
      <t xml:space="preserve"> </t>
    </r>
    <r>
      <rPr>
        <sz val="10"/>
        <color theme="1"/>
        <rFont val="Arial Unicode MS"/>
      </rPr>
      <t>beleza_saude</t>
    </r>
    <r>
      <rPr>
        <sz val="11"/>
        <color theme="1"/>
        <rFont val="Aptos Narrow"/>
        <family val="2"/>
        <scheme val="minor"/>
      </rPr>
      <t xml:space="preserve"> generated the highest item sales value at </t>
    </r>
    <r>
      <rPr>
        <b/>
        <sz val="11"/>
        <color theme="1"/>
        <rFont val="Aptos Narrow"/>
        <family val="2"/>
        <scheme val="minor"/>
      </rPr>
      <t>R$1,258,681.34</t>
    </r>
    <r>
      <rPr>
        <sz val="11"/>
        <color theme="1"/>
        <rFont val="Aptos Narrow"/>
        <family val="2"/>
        <scheme val="minor"/>
      </rPr>
      <t xml:space="preserve">, representing </t>
    </r>
    <r>
      <rPr>
        <b/>
        <sz val="11"/>
        <color theme="1"/>
        <rFont val="Aptos Narrow"/>
        <family val="2"/>
        <scheme val="minor"/>
      </rPr>
      <t>9.26%</t>
    </r>
    <r>
      <rPr>
        <sz val="11"/>
        <color theme="1"/>
        <rFont val="Aptos Narrow"/>
        <family val="2"/>
        <scheme val="minor"/>
      </rPr>
      <t xml:space="preserve"> of total item sales value, across 9,670 order-item records.</t>
    </r>
  </si>
  <si>
    <r>
      <t>2. Second-highest category:</t>
    </r>
    <r>
      <rPr>
        <sz val="11"/>
        <color theme="1"/>
        <rFont val="Aptos Narrow"/>
        <family val="2"/>
        <scheme val="minor"/>
      </rPr>
      <t xml:space="preserve"> </t>
    </r>
    <r>
      <rPr>
        <sz val="10"/>
        <color theme="1"/>
        <rFont val="Arial Unicode MS"/>
      </rPr>
      <t>relogios_presentes</t>
    </r>
    <r>
      <rPr>
        <sz val="11"/>
        <color theme="1"/>
        <rFont val="Aptos Narrow"/>
        <family val="2"/>
        <scheme val="minor"/>
      </rPr>
      <t xml:space="preserve"> generated </t>
    </r>
    <r>
      <rPr>
        <b/>
        <sz val="11"/>
        <color theme="1"/>
        <rFont val="Aptos Narrow"/>
        <family val="2"/>
        <scheme val="minor"/>
      </rPr>
      <t>R$1,205,005.68</t>
    </r>
    <r>
      <rPr>
        <sz val="11"/>
        <color theme="1"/>
        <rFont val="Aptos Narrow"/>
        <family val="2"/>
        <scheme val="minor"/>
      </rPr>
      <t xml:space="preserve">, contributing </t>
    </r>
    <r>
      <rPr>
        <b/>
        <sz val="11"/>
        <color theme="1"/>
        <rFont val="Aptos Narrow"/>
        <family val="2"/>
        <scheme val="minor"/>
      </rPr>
      <t>8.87%</t>
    </r>
    <r>
      <rPr>
        <sz val="11"/>
        <color theme="1"/>
        <rFont val="Aptos Narrow"/>
        <family val="2"/>
        <scheme val="minor"/>
      </rPr>
      <t xml:space="preserve"> of total item sales value. Its average item price of </t>
    </r>
    <r>
      <rPr>
        <b/>
        <sz val="11"/>
        <color theme="1"/>
        <rFont val="Aptos Narrow"/>
        <family val="2"/>
        <scheme val="minor"/>
      </rPr>
      <t>R$201.14</t>
    </r>
    <r>
      <rPr>
        <sz val="11"/>
        <color theme="1"/>
        <rFont val="Aptos Narrow"/>
        <family val="2"/>
        <scheme val="minor"/>
      </rPr>
      <t xml:space="preserve"> was higher than that of the leading category, </t>
    </r>
    <r>
      <rPr>
        <sz val="10"/>
        <color theme="1"/>
        <rFont val="Arial Unicode MS"/>
      </rPr>
      <t>beleza_saude</t>
    </r>
    <r>
      <rPr>
        <sz val="11"/>
        <color theme="1"/>
        <rFont val="Aptos Narrow"/>
        <family val="2"/>
        <scheme val="minor"/>
      </rPr>
      <t xml:space="preserve"> (R$130.16).</t>
    </r>
  </si>
  <si>
    <r>
      <t>3. Strong performance in home and lifestyle products:</t>
    </r>
    <r>
      <rPr>
        <sz val="11"/>
        <color theme="1"/>
        <rFont val="Aptos Narrow"/>
        <family val="2"/>
        <scheme val="minor"/>
      </rPr>
      <t xml:space="preserve"> </t>
    </r>
    <r>
      <rPr>
        <sz val="10"/>
        <color theme="1"/>
        <rFont val="Arial Unicode MS"/>
      </rPr>
      <t>cama_mesa_banho</t>
    </r>
    <r>
      <rPr>
        <sz val="11"/>
        <color theme="1"/>
        <rFont val="Aptos Narrow"/>
        <family val="2"/>
        <scheme val="minor"/>
      </rPr>
      <t xml:space="preserve"> generated </t>
    </r>
    <r>
      <rPr>
        <b/>
        <sz val="11"/>
        <color theme="1"/>
        <rFont val="Aptos Narrow"/>
        <family val="2"/>
        <scheme val="minor"/>
      </rPr>
      <t>R$1,036,988.68</t>
    </r>
    <r>
      <rPr>
        <sz val="11"/>
        <color theme="1"/>
        <rFont val="Aptos Narrow"/>
        <family val="2"/>
        <scheme val="minor"/>
      </rPr>
      <t xml:space="preserve">, representing </t>
    </r>
    <r>
      <rPr>
        <b/>
        <sz val="11"/>
        <color theme="1"/>
        <rFont val="Aptos Narrow"/>
        <family val="2"/>
        <scheme val="minor"/>
      </rPr>
      <t>7.63%</t>
    </r>
    <r>
      <rPr>
        <sz val="11"/>
        <color theme="1"/>
        <rFont val="Aptos Narrow"/>
        <family val="2"/>
        <scheme val="minor"/>
      </rPr>
      <t xml:space="preserve"> of total item sales value, with 11,115 order-item records—the highest item-record count among these three leading categories.</t>
    </r>
  </si>
  <si>
    <r>
      <t>4. Sales contribution is distributed across multiple categories:</t>
    </r>
    <r>
      <rPr>
        <sz val="11"/>
        <color theme="1"/>
        <rFont val="Aptos Narrow"/>
        <family val="2"/>
        <scheme val="minor"/>
      </rPr>
      <t xml:space="preserve"> The leading category contributed 9.26% of total item sales value. This indicates that sales value was not concentrated entirely in one product category; several categories contributed meaningfully to the overall result.</t>
    </r>
  </si>
  <si>
    <r>
      <t>5. Unclassified product sales remain material:</t>
    </r>
    <r>
      <rPr>
        <sz val="11"/>
        <color theme="1"/>
        <rFont val="Aptos Narrow"/>
        <family val="2"/>
        <scheme val="minor"/>
      </rPr>
      <t xml:space="preserve"> </t>
    </r>
    <r>
      <rPr>
        <sz val="10"/>
        <color theme="1"/>
        <rFont val="Arial Unicode MS"/>
      </rPr>
      <t>Unknown / Unclassified</t>
    </r>
    <r>
      <rPr>
        <sz val="11"/>
        <color theme="1"/>
        <rFont val="Aptos Narrow"/>
        <family val="2"/>
        <scheme val="minor"/>
      </rPr>
      <t xml:space="preserve"> accounted for </t>
    </r>
    <r>
      <rPr>
        <b/>
        <sz val="11"/>
        <color theme="1"/>
        <rFont val="Aptos Narrow"/>
        <family val="2"/>
        <scheme val="minor"/>
      </rPr>
      <t>R$179,535.28</t>
    </r>
    <r>
      <rPr>
        <sz val="11"/>
        <color theme="1"/>
        <rFont val="Aptos Narrow"/>
        <family val="2"/>
        <scheme val="minor"/>
      </rPr>
      <t xml:space="preserve">, or </t>
    </r>
    <r>
      <rPr>
        <b/>
        <sz val="11"/>
        <color theme="1"/>
        <rFont val="Aptos Narrow"/>
        <family val="2"/>
        <scheme val="minor"/>
      </rPr>
      <t>1.32%</t>
    </r>
    <r>
      <rPr>
        <sz val="11"/>
        <color theme="1"/>
        <rFont val="Aptos Narrow"/>
        <family val="2"/>
        <scheme val="minor"/>
      </rPr>
      <t xml:space="preserve"> of total item sales value. Retaining this category makes the classification limitation visible and avoids silently excluding its sales.</t>
    </r>
  </si>
  <si>
    <t>Business Implications and Recommendations</t>
  </si>
  <si>
    <t>Review the leading categories for opportunities to improve product availability, merchandising, and targeted marketing.</t>
  </si>
  <si>
    <r>
      <t xml:space="preserve">Assess </t>
    </r>
    <r>
      <rPr>
        <sz val="10"/>
        <color theme="1"/>
        <rFont val="Arial Unicode MS"/>
      </rPr>
      <t>relogios_presentes</t>
    </r>
    <r>
      <rPr>
        <sz val="11"/>
        <color theme="1"/>
        <rFont val="Aptos Narrow"/>
        <family val="2"/>
        <scheme val="minor"/>
      </rPr>
      <t xml:space="preserve"> separately because its higher average item price may reflect a different product mix; average price alone does not establish higher profitability.</t>
    </r>
  </si>
  <si>
    <t>Investigate the missing product-category classifications to improve reporting quality while preserving the associated sales value.</t>
  </si>
  <si>
    <t>Before making investment or assortment decisions, compare category performance using profit margins, freight costs, returns, inventory availability, and trends over time.</t>
  </si>
  <si>
    <t>Limitations</t>
  </si>
  <si>
    <r>
      <t xml:space="preserve">This analysis measures </t>
    </r>
    <r>
      <rPr>
        <b/>
        <sz val="11"/>
        <color theme="1"/>
        <rFont val="Aptos Narrow"/>
        <family val="2"/>
        <scheme val="minor"/>
      </rPr>
      <t>item sales value based on product item prices, excluding freight</t>
    </r>
    <r>
      <rPr>
        <sz val="11"/>
        <color theme="1"/>
        <rFont val="Aptos Narrow"/>
        <family val="2"/>
        <scheme val="minor"/>
      </rPr>
      <t>. Sales value is not equivalent to profit. Order-item records represent item lines, not necessarily unique orders or individual units. Category-level average item prices should not be interpreted as weighted overall averages.</t>
    </r>
  </si>
  <si>
    <t>Mission 4C.2 — Top 10 Item Sales Value by Product Category Chart</t>
  </si>
  <si>
    <t>Visually compare the ten product categories with the highest item sales value and identify the leading contributors.</t>
  </si>
  <si>
    <r>
      <t xml:space="preserve">1. The chart highlights </t>
    </r>
    <r>
      <rPr>
        <sz val="10"/>
        <color theme="1"/>
        <rFont val="Arial Unicode MS"/>
      </rPr>
      <t>beleza_saude</t>
    </r>
    <r>
      <rPr>
        <sz val="11"/>
        <color theme="1"/>
        <rFont val="Aptos Narrow"/>
        <family val="2"/>
        <scheme val="minor"/>
      </rPr>
      <t xml:space="preserve">, </t>
    </r>
    <r>
      <rPr>
        <sz val="10"/>
        <color theme="1"/>
        <rFont val="Arial Unicode MS"/>
      </rPr>
      <t>relogios_presentes</t>
    </r>
    <r>
      <rPr>
        <sz val="11"/>
        <color theme="1"/>
        <rFont val="Aptos Narrow"/>
        <family val="2"/>
        <scheme val="minor"/>
      </rPr>
      <t xml:space="preserve">, and </t>
    </r>
    <r>
      <rPr>
        <sz val="10"/>
        <color theme="1"/>
        <rFont val="Arial Unicode MS"/>
      </rPr>
      <t>cama_mesa_banho</t>
    </r>
    <r>
      <rPr>
        <sz val="11"/>
        <color theme="1"/>
        <rFont val="Aptos Narrow"/>
        <family val="2"/>
        <scheme val="minor"/>
      </rPr>
      <t xml:space="preserve"> as the three leading categories by item sales value.</t>
    </r>
  </si>
  <si>
    <r>
      <t>2. beleza_saude</t>
    </r>
    <r>
      <rPr>
        <sz val="11"/>
        <color theme="1"/>
        <rFont val="Aptos Narrow"/>
        <family val="2"/>
        <scheme val="minor"/>
      </rPr>
      <t xml:space="preserve"> leads at </t>
    </r>
    <r>
      <rPr>
        <b/>
        <sz val="11"/>
        <color theme="1"/>
        <rFont val="Aptos Narrow"/>
        <family val="2"/>
        <scheme val="minor"/>
      </rPr>
      <t>R$1,258,681.34</t>
    </r>
    <r>
      <rPr>
        <sz val="11"/>
        <color theme="1"/>
        <rFont val="Aptos Narrow"/>
        <family val="2"/>
        <scheme val="minor"/>
      </rPr>
      <t xml:space="preserve">, followed by </t>
    </r>
    <r>
      <rPr>
        <sz val="10"/>
        <color theme="1"/>
        <rFont val="Arial Unicode MS"/>
      </rPr>
      <t>relogios_presentes</t>
    </r>
    <r>
      <rPr>
        <sz val="11"/>
        <color theme="1"/>
        <rFont val="Aptos Narrow"/>
        <family val="2"/>
        <scheme val="minor"/>
      </rPr>
      <t xml:space="preserve"> at </t>
    </r>
    <r>
      <rPr>
        <b/>
        <sz val="11"/>
        <color theme="1"/>
        <rFont val="Aptos Narrow"/>
        <family val="2"/>
        <scheme val="minor"/>
      </rPr>
      <t>R$1,205,005.68</t>
    </r>
    <r>
      <rPr>
        <sz val="11"/>
        <color theme="1"/>
        <rFont val="Aptos Narrow"/>
        <family val="2"/>
        <scheme val="minor"/>
      </rPr>
      <t xml:space="preserve"> and </t>
    </r>
    <r>
      <rPr>
        <sz val="10"/>
        <color theme="1"/>
        <rFont val="Arial Unicode MS"/>
      </rPr>
      <t>cama_mesa_banho</t>
    </r>
    <r>
      <rPr>
        <sz val="11"/>
        <color theme="1"/>
        <rFont val="Aptos Narrow"/>
        <family val="2"/>
        <scheme val="minor"/>
      </rPr>
      <t xml:space="preserve"> at </t>
    </r>
    <r>
      <rPr>
        <b/>
        <sz val="11"/>
        <color theme="1"/>
        <rFont val="Aptos Narrow"/>
        <family val="2"/>
        <scheme val="minor"/>
      </rPr>
      <t>R$1,036,988.68</t>
    </r>
    <r>
      <rPr>
        <sz val="11"/>
        <color theme="1"/>
        <rFont val="Aptos Narrow"/>
        <family val="2"/>
        <scheme val="minor"/>
      </rPr>
      <t>.</t>
    </r>
  </si>
  <si>
    <t>3. The comparison makes differences in category sales contribution easier to interpret and provides a concise view</t>
  </si>
  <si>
    <t>Mission 4C.3 — Data Quality and Reconciliation Checks</t>
  </si>
  <si>
    <t>Validation results</t>
  </si>
  <si>
    <t>The source CSV contains 74 populated product-category entries and 74 unique category names.</t>
  </si>
  <si>
    <r>
      <t xml:space="preserve">Total item sales across all categories equal </t>
    </r>
    <r>
      <rPr>
        <b/>
        <sz val="11"/>
        <color theme="1"/>
        <rFont val="Aptos Narrow"/>
        <family val="2"/>
        <scheme val="minor"/>
      </rPr>
      <t>R$13,591,643.70</t>
    </r>
    <r>
      <rPr>
        <sz val="11"/>
        <color theme="1"/>
        <rFont val="Aptos Narrow"/>
        <family val="2"/>
        <scheme val="minor"/>
      </rPr>
      <t>.</t>
    </r>
  </si>
  <si>
    <r>
      <t xml:space="preserve">The sum of rounded category sales-share percentages is </t>
    </r>
    <r>
      <rPr>
        <b/>
        <sz val="11"/>
        <color theme="1"/>
        <rFont val="Aptos Narrow"/>
        <family val="2"/>
        <scheme val="minor"/>
      </rPr>
      <t>99.98%</t>
    </r>
    <r>
      <rPr>
        <sz val="11"/>
        <color theme="1"/>
        <rFont val="Aptos Narrow"/>
        <family val="2"/>
        <scheme val="minor"/>
      </rPr>
      <t>, explained by rounding each category's share to two decimal places.</t>
    </r>
  </si>
  <si>
    <r>
      <t xml:space="preserve">The </t>
    </r>
    <r>
      <rPr>
        <sz val="10"/>
        <color theme="1"/>
        <rFont val="Arial Unicode MS"/>
      </rPr>
      <t>Unknown / Unclassified</t>
    </r>
    <r>
      <rPr>
        <sz val="11"/>
        <color theme="1"/>
        <rFont val="Aptos Narrow"/>
        <family val="2"/>
        <scheme val="minor"/>
      </rPr>
      <t xml:space="preserve"> category has 1,451 distinct orders, 1,603 order-item records, R$179,535.28 in item sales, and a 1.32% share of item sales.</t>
    </r>
  </si>
  <si>
    <t>The Top 10 categories account for R$8,475,957.56, approximately 62.36% of total item sales.</t>
  </si>
  <si>
    <t>The remaining categories account for R$5,115,686.14, approximately 37.64% of total item sales.</t>
  </si>
  <si>
    <t>Business interpretation</t>
  </si>
  <si>
    <t>The category sales figures reconcile with the full source total. The Top 10 categories represent approximately 62.36% of item sales, while the remaining categories contribute 37.64%. The unclassified category represents sales that cannot be attributed to a named product category in this analysis and warrants further investigation.</t>
  </si>
  <si>
    <t>These checks validate row counts, category coverage, sales totals, and rounded percentages. They do not independently establish that every source record is accurate or every category assignment is correct. Item sales value is based on product prices, excludes freight, and is not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</si>
</sst>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R$-416]\ #,##0.00"/>
  </numFmts>
  <fonts count="22">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4"/>
      <color theme="1"/>
      <name val="Aptos Narrow"/>
      <family val="2"/>
      <scheme val="minor"/>
    </font>
    <font>
      <b/>
      <sz val="18"/>
      <color theme="1"/>
      <name val="Aptos Narrow"/>
      <family val="2"/>
      <scheme val="minor"/>
    </font>
    <font>
      <b/>
      <sz val="13.5"/>
      <color theme="1"/>
      <name val="Aptos Narrow"/>
      <family val="2"/>
      <scheme val="minor"/>
    </font>
    <font>
      <sz val="10"/>
      <color theme="1"/>
      <name val="Arial Unicode MS"/>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0" fontId="16" fillId="0" borderId="0" xfId="0" applyFont="1"/>
    <xf numFmtId="0" fontId="18"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0" fontId="0" fillId="0" borderId="0" xfId="0" applyAlignment="1">
      <alignment horizontal="left" vertical="center" indent="1"/>
    </xf>
    <xf numFmtId="0" fontId="16" fillId="0" borderId="0" xfId="0" applyFont="1" applyAlignment="1">
      <alignment horizontal="left" vertical="center" indent="1"/>
    </xf>
    <xf numFmtId="0" fontId="21" fillId="0" borderId="0" xfId="0" applyFont="1" applyAlignment="1">
      <alignment horizontal="left" vertical="center"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Item Sales Value by Product Category — Top 10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'Mission 4C.Pivot'!$I$3</c:f>
              <c:strCache>
                <c:ptCount val="1"/>
                <c:pt idx="0">
                  <c:v>Item Sales Value(R$)</c:v>
                </c:pt>
              </c:strCache>
            </c:strRef>
          </c:tx>
          <c:spPr>
            <a:solidFill>
              <a:schemeClr val="accent1"/>
            </a:solidFill>
            <a:ln>
              <a:noFill/>
            </a:ln>
            <a:effectLst/>
          </c:spPr>
          <c:invertIfNegative val="0"/>
          <c:cat>
            <c:strRef>
              <c:f>'Mission 4C.Pivot'!$H$4:$H$13</c:f>
              <c:strCache>
                <c:ptCount val="10"/>
                <c:pt idx="0">
                  <c:v>beleza_saude</c:v>
                </c:pt>
                <c:pt idx="1">
                  <c:v>relogios_presentes</c:v>
                </c:pt>
                <c:pt idx="2">
                  <c:v>cama_mesa_banho</c:v>
                </c:pt>
                <c:pt idx="3">
                  <c:v>esporte_lazer</c:v>
                </c:pt>
                <c:pt idx="4">
                  <c:v>informatica_acessorios</c:v>
                </c:pt>
                <c:pt idx="5">
                  <c:v>moveis_decoracao</c:v>
                </c:pt>
                <c:pt idx="6">
                  <c:v>cool_stuff</c:v>
                </c:pt>
                <c:pt idx="7">
                  <c:v>utilidades_domesticas</c:v>
                </c:pt>
                <c:pt idx="8">
                  <c:v>automotivo</c:v>
                </c:pt>
                <c:pt idx="9">
                  <c:v>ferramentas_jardim</c:v>
                </c:pt>
              </c:strCache>
            </c:strRef>
          </c:cat>
          <c:val>
            <c:numRef>
              <c:f>'Mission 4C.Pivot'!$I$4:$I$13</c:f>
              <c:numCache>
                <c:formatCode>[$R$-416]\ #,##0.00</c:formatCode>
                <c:ptCount val="10"/>
                <c:pt idx="0">
                  <c:v>1258681.3400000001</c:v>
                </c:pt>
                <c:pt idx="1">
                  <c:v>1205005.68</c:v>
                </c:pt>
                <c:pt idx="2">
                  <c:v>1036988.68</c:v>
                </c:pt>
                <c:pt idx="3">
                  <c:v>988048.97</c:v>
                </c:pt>
                <c:pt idx="4">
                  <c:v>911954.32</c:v>
                </c:pt>
                <c:pt idx="5">
                  <c:v>729762.49</c:v>
                </c:pt>
                <c:pt idx="6">
                  <c:v>635290.85</c:v>
                </c:pt>
                <c:pt idx="7">
                  <c:v>632248.66</c:v>
                </c:pt>
                <c:pt idx="8">
                  <c:v>592720.11</c:v>
                </c:pt>
                <c:pt idx="9">
                  <c:v>485256.46</c:v>
                </c:pt>
              </c:numCache>
            </c:numRef>
          </c:val>
          <c:extLst>
            <c:ext xmlns:c16="http://schemas.microsoft.com/office/drawing/2014/chart" uri="{C3380CC4-5D6E-409C-BE32-E72D297353CC}">
              <c16:uniqueId val="{00000000-6FAB-4F93-B9EC-6BB237FCEBF4}"/>
            </c:ext>
          </c:extLst>
        </c:ser>
        <c:dLbls>
          <c:showLegendKey val="0"/>
          <c:showVal val="0"/>
          <c:showCatName val="0"/>
          <c:showSerName val="0"/>
          <c:showPercent val="0"/>
          <c:showBubbleSize val="0"/>
        </c:dLbls>
        <c:gapWidth val="182"/>
        <c:axId val="348776527"/>
        <c:axId val="348777007"/>
      </c:barChart>
      <c:catAx>
        <c:axId val="34877652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Product category</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777007"/>
        <c:crosses val="autoZero"/>
        <c:auto val="1"/>
        <c:lblAlgn val="ctr"/>
        <c:lblOffset val="100"/>
        <c:noMultiLvlLbl val="0"/>
      </c:catAx>
      <c:valAx>
        <c:axId val="3487770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Item Sales Value (R$)</a:t>
                </a:r>
                <a:endParaRPr lang="en-US"/>
              </a:p>
            </c:rich>
          </c:tx>
          <c:layout>
            <c:manualLayout>
              <c:xMode val="edge"/>
              <c:yMode val="edge"/>
              <c:x val="0.38681233595800524"/>
              <c:y val="0.9160421804714576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R$-416]\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776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nchor="b" anchorCtr="1"/>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45720</xdr:colOff>
      <xdr:row>21</xdr:row>
      <xdr:rowOff>19050</xdr:rowOff>
    </xdr:from>
    <xdr:to>
      <xdr:col>3</xdr:col>
      <xdr:colOff>670560</xdr:colOff>
      <xdr:row>41</xdr:row>
      <xdr:rowOff>22860</xdr:rowOff>
    </xdr:to>
    <xdr:graphicFrame macro="">
      <xdr:nvGraphicFramePr>
        <xdr:cNvPr id="3" name="Chart 2">
          <a:extLst>
            <a:ext uri="{FF2B5EF4-FFF2-40B4-BE49-F238E27FC236}">
              <a16:creationId xmlns:a16="http://schemas.microsoft.com/office/drawing/2014/main" id="{7F380CB4-86EE-EFB0-CEE2-8B38CCF116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ya mittal" refreshedDate="46317.505983449075" createdVersion="8" refreshedVersion="8" minRefreshableVersion="3" recordCount="74" xr:uid="{8CC8BE49-13A5-403A-A1C9-57CFD3CC6289}">
  <cacheSource type="worksheet">
    <worksheetSource ref="A1:F75" sheet="Mission_4C_Product_Category_P"/>
  </cacheSource>
  <cacheFields count="6">
    <cacheField name="product_category" numFmtId="0">
      <sharedItems count="74">
        <s v="beleza_saude"/>
        <s v="relogios_presentes"/>
        <s v="cama_mesa_banho"/>
        <s v="esporte_lazer"/>
        <s v="informatica_acessorios"/>
        <s v="moveis_decoracao"/>
        <s v="cool_stuff"/>
        <s v="utilidades_domesticas"/>
        <s v="automotivo"/>
        <s v="ferramentas_jardim"/>
        <s v="brinquedos"/>
        <s v="bebes"/>
        <s v="perfumaria"/>
        <s v="telefonia"/>
        <s v="moveis_escritorio"/>
        <s v="papelaria"/>
        <s v="pcs"/>
        <s v="pet_shop"/>
        <s v="instrumentos_musicais"/>
        <s v="eletroportateis"/>
        <s v="Unknown / Unclassified"/>
        <s v="eletronicos"/>
        <s v="consoles_games"/>
        <s v="fashion_bolsas_e_acessorios"/>
        <s v="construcao_ferramentas_construcao"/>
        <s v="malas_acessorios"/>
        <s v="eletrodomesticos_2"/>
        <s v="casa_construcao"/>
        <s v="eletrodomesticos"/>
        <s v="agro_industria_e_comercio"/>
        <s v="moveis_sala"/>
        <s v="telefonia_fixa"/>
        <s v="casa_conforto"/>
        <s v="climatizacao"/>
        <s v="audio"/>
        <s v="portateis_casa_forno_e_cafe"/>
        <s v="livros_interesse_geral"/>
        <s v="moveis_cozinha_area_de_servico_jantar_e_jardim"/>
        <s v="construcao_ferramentas_iluminacao"/>
        <s v="construcao_ferramentas_seguranca"/>
        <s v="industria_comercio_e_negocios"/>
        <s v="alimentos"/>
        <s v="market_place"/>
        <s v="construcao_ferramentas_jardim"/>
        <s v="artes"/>
        <s v="fashion_calcados"/>
        <s v="bebidas"/>
        <s v="sinalizacao_e_seguranca"/>
        <s v="moveis_quarto"/>
        <s v="livros_tecnicos"/>
        <s v="construcao_ferramentas_ferramentas"/>
        <s v="alimentos_bebidas"/>
        <s v="fashion_roupa_masculina"/>
        <s v="fashion_underwear_e_moda_praia"/>
        <s v="artigos_de_natal"/>
        <s v="tablets_impressao_imagem"/>
        <s v="cine_foto"/>
        <s v="musica"/>
        <s v="dvds_blu_ray"/>
        <s v="livros_importados"/>
        <s v="artigos_de_festas"/>
        <s v="moveis_colchao_e_estofado"/>
        <s v="portateis_cozinha_e_preparadores_de_alimentos"/>
        <s v="fashion_roupa_feminina"/>
        <s v="fashion_esporte"/>
        <s v="la_cuisine"/>
        <s v="artes_e_artesanato"/>
        <s v="fraldas_higiene"/>
        <s v="pc_gamer"/>
        <s v="flores"/>
        <s v="casa_conforto_2"/>
        <s v="cds_dvds_musicais"/>
        <s v="fashion_roupa_infanto_juvenil"/>
        <s v="seguros_e_servicos"/>
      </sharedItems>
    </cacheField>
    <cacheField name="distinct_orders" numFmtId="0">
      <sharedItems containsSemiMixedTypes="0" containsString="0" containsNumber="1" containsInteger="1" minValue="2" maxValue="9417"/>
    </cacheField>
    <cacheField name="order_item_records" numFmtId="0">
      <sharedItems containsSemiMixedTypes="0" containsString="0" containsNumber="1" containsInteger="1" minValue="2" maxValue="11115"/>
    </cacheField>
    <cacheField name="item_sales_value" numFmtId="0">
      <sharedItems containsSemiMixedTypes="0" containsString="0" containsNumber="1" minValue="283.29000000000002" maxValue="1258681.3400000001"/>
    </cacheField>
    <cacheField name="average_item_price" numFmtId="0">
      <sharedItems containsSemiMixedTypes="0" containsString="0" containsNumber="1" minValue="25.34" maxValue="1098.3399999999999"/>
    </cacheField>
    <cacheField name="pct_of_item_sales_value" numFmtId="0">
      <sharedItems containsSemiMixedTypes="0" containsString="0" containsNumber="1" minValue="0" maxValue="9.2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
  <r>
    <x v="0"/>
    <n v="8836"/>
    <n v="9670"/>
    <n v="1258681.3400000001"/>
    <n v="130.16"/>
    <n v="9.26"/>
  </r>
  <r>
    <x v="1"/>
    <n v="5624"/>
    <n v="5991"/>
    <n v="1205005.68"/>
    <n v="201.14"/>
    <n v="8.8699999999999992"/>
  </r>
  <r>
    <x v="2"/>
    <n v="9417"/>
    <n v="11115"/>
    <n v="1036988.68"/>
    <n v="93.3"/>
    <n v="7.63"/>
  </r>
  <r>
    <x v="3"/>
    <n v="7720"/>
    <n v="8641"/>
    <n v="988048.97"/>
    <n v="114.34"/>
    <n v="7.27"/>
  </r>
  <r>
    <x v="4"/>
    <n v="6689"/>
    <n v="7827"/>
    <n v="911954.32"/>
    <n v="116.51"/>
    <n v="6.71"/>
  </r>
  <r>
    <x v="5"/>
    <n v="6449"/>
    <n v="8334"/>
    <n v="729762.49"/>
    <n v="87.56"/>
    <n v="5.37"/>
  </r>
  <r>
    <x v="6"/>
    <n v="3632"/>
    <n v="3796"/>
    <n v="635290.85"/>
    <n v="167.36"/>
    <n v="4.67"/>
  </r>
  <r>
    <x v="7"/>
    <n v="5884"/>
    <n v="6964"/>
    <n v="632248.66"/>
    <n v="90.79"/>
    <n v="4.6500000000000004"/>
  </r>
  <r>
    <x v="8"/>
    <n v="3897"/>
    <n v="4235"/>
    <n v="592720.11"/>
    <n v="139.96"/>
    <n v="4.3600000000000003"/>
  </r>
  <r>
    <x v="9"/>
    <n v="3518"/>
    <n v="4347"/>
    <n v="485256.46"/>
    <n v="111.63"/>
    <n v="3.57"/>
  </r>
  <r>
    <x v="10"/>
    <n v="3886"/>
    <n v="4117"/>
    <n v="483946.6"/>
    <n v="117.55"/>
    <n v="3.56"/>
  </r>
  <r>
    <x v="11"/>
    <n v="2885"/>
    <n v="3065"/>
    <n v="411764.89"/>
    <n v="134.34"/>
    <n v="3.03"/>
  </r>
  <r>
    <x v="12"/>
    <n v="3162"/>
    <n v="3419"/>
    <n v="399124.87"/>
    <n v="116.74"/>
    <n v="2.94"/>
  </r>
  <r>
    <x v="13"/>
    <n v="4199"/>
    <n v="4545"/>
    <n v="323667.53000000003"/>
    <n v="71.209999999999994"/>
    <n v="2.38"/>
  </r>
  <r>
    <x v="14"/>
    <n v="1273"/>
    <n v="1691"/>
    <n v="273960.7"/>
    <n v="162.01"/>
    <n v="2.02"/>
  </r>
  <r>
    <x v="15"/>
    <n v="2311"/>
    <n v="2517"/>
    <n v="230943.23"/>
    <n v="91.75"/>
    <n v="1.7"/>
  </r>
  <r>
    <x v="16"/>
    <n v="181"/>
    <n v="203"/>
    <n v="222963.13"/>
    <n v="1098.3399999999999"/>
    <n v="1.64"/>
  </r>
  <r>
    <x v="17"/>
    <n v="1710"/>
    <n v="1947"/>
    <n v="214315.41"/>
    <n v="110.07"/>
    <n v="1.58"/>
  </r>
  <r>
    <x v="18"/>
    <n v="628"/>
    <n v="680"/>
    <n v="191498.88"/>
    <n v="281.62"/>
    <n v="1.41"/>
  </r>
  <r>
    <x v="19"/>
    <n v="630"/>
    <n v="679"/>
    <n v="190648.58"/>
    <n v="280.77999999999997"/>
    <n v="1.4"/>
  </r>
  <r>
    <x v="20"/>
    <n v="1451"/>
    <n v="1603"/>
    <n v="179535.28"/>
    <n v="112"/>
    <n v="1.32"/>
  </r>
  <r>
    <x v="21"/>
    <n v="2550"/>
    <n v="2767"/>
    <n v="160246.74"/>
    <n v="57.91"/>
    <n v="1.18"/>
  </r>
  <r>
    <x v="22"/>
    <n v="1062"/>
    <n v="1137"/>
    <n v="157465.22"/>
    <n v="138.49"/>
    <n v="1.1599999999999999"/>
  </r>
  <r>
    <x v="23"/>
    <n v="1864"/>
    <n v="2031"/>
    <n v="152823.54"/>
    <n v="75.25"/>
    <n v="1.1200000000000001"/>
  </r>
  <r>
    <x v="24"/>
    <n v="748"/>
    <n v="929"/>
    <n v="144677.59"/>
    <n v="155.72999999999999"/>
    <n v="1.06"/>
  </r>
  <r>
    <x v="25"/>
    <n v="1034"/>
    <n v="1092"/>
    <n v="140429.98000000001"/>
    <n v="128.6"/>
    <n v="1.03"/>
  </r>
  <r>
    <x v="26"/>
    <n v="234"/>
    <n v="238"/>
    <n v="113317.74"/>
    <n v="476.12"/>
    <n v="0.83"/>
  </r>
  <r>
    <x v="27"/>
    <n v="490"/>
    <n v="604"/>
    <n v="83088.12"/>
    <n v="137.56"/>
    <n v="0.61"/>
  </r>
  <r>
    <x v="28"/>
    <n v="764"/>
    <n v="771"/>
    <n v="80171.53"/>
    <n v="103.98"/>
    <n v="0.59"/>
  </r>
  <r>
    <x v="29"/>
    <n v="182"/>
    <n v="212"/>
    <n v="72530.47"/>
    <n v="342.12"/>
    <n v="0.53"/>
  </r>
  <r>
    <x v="30"/>
    <n v="422"/>
    <n v="503"/>
    <n v="68916.56"/>
    <n v="137.01"/>
    <n v="0.51"/>
  </r>
  <r>
    <x v="31"/>
    <n v="217"/>
    <n v="264"/>
    <n v="59583"/>
    <n v="225.69"/>
    <n v="0.44"/>
  </r>
  <r>
    <x v="32"/>
    <n v="397"/>
    <n v="434"/>
    <n v="58572.04"/>
    <n v="134.96"/>
    <n v="0.43"/>
  </r>
  <r>
    <x v="33"/>
    <n v="253"/>
    <n v="297"/>
    <n v="55024.959999999999"/>
    <n v="185.27"/>
    <n v="0.4"/>
  </r>
  <r>
    <x v="34"/>
    <n v="350"/>
    <n v="364"/>
    <n v="50688.5"/>
    <n v="139.25"/>
    <n v="0.37"/>
  </r>
  <r>
    <x v="35"/>
    <n v="75"/>
    <n v="76"/>
    <n v="47445.71"/>
    <n v="624.29"/>
    <n v="0.35"/>
  </r>
  <r>
    <x v="36"/>
    <n v="512"/>
    <n v="553"/>
    <n v="46856.88"/>
    <n v="84.73"/>
    <n v="0.34"/>
  </r>
  <r>
    <x v="37"/>
    <n v="248"/>
    <n v="281"/>
    <n v="46328.37"/>
    <n v="164.87"/>
    <n v="0.34"/>
  </r>
  <r>
    <x v="38"/>
    <n v="244"/>
    <n v="304"/>
    <n v="41080"/>
    <n v="135.13"/>
    <n v="0.3"/>
  </r>
  <r>
    <x v="39"/>
    <n v="167"/>
    <n v="194"/>
    <n v="40544.519999999997"/>
    <n v="208.99"/>
    <n v="0.3"/>
  </r>
  <r>
    <x v="40"/>
    <n v="235"/>
    <n v="268"/>
    <n v="39669.61"/>
    <n v="148.02000000000001"/>
    <n v="0.28999999999999998"/>
  </r>
  <r>
    <x v="41"/>
    <n v="450"/>
    <n v="510"/>
    <n v="29393.41"/>
    <n v="57.63"/>
    <n v="0.22"/>
  </r>
  <r>
    <x v="42"/>
    <n v="280"/>
    <n v="311"/>
    <n v="28378.47"/>
    <n v="91.25"/>
    <n v="0.21"/>
  </r>
  <r>
    <x v="43"/>
    <n v="194"/>
    <n v="238"/>
    <n v="25715.89"/>
    <n v="108.05"/>
    <n v="0.19"/>
  </r>
  <r>
    <x v="44"/>
    <n v="202"/>
    <n v="209"/>
    <n v="24202.639999999999"/>
    <n v="115.8"/>
    <n v="0.18"/>
  </r>
  <r>
    <x v="45"/>
    <n v="240"/>
    <n v="262"/>
    <n v="23562.77"/>
    <n v="89.93"/>
    <n v="0.17"/>
  </r>
  <r>
    <x v="46"/>
    <n v="297"/>
    <n v="379"/>
    <n v="22428.7"/>
    <n v="59.18"/>
    <n v="0.17"/>
  </r>
  <r>
    <x v="47"/>
    <n v="140"/>
    <n v="199"/>
    <n v="21509.23"/>
    <n v="108.09"/>
    <n v="0.16"/>
  </r>
  <r>
    <x v="48"/>
    <n v="95"/>
    <n v="109"/>
    <n v="20028.78"/>
    <n v="183.75"/>
    <n v="0.15"/>
  </r>
  <r>
    <x v="49"/>
    <n v="260"/>
    <n v="267"/>
    <n v="19096.060000000001"/>
    <n v="71.52"/>
    <n v="0.14000000000000001"/>
  </r>
  <r>
    <x v="50"/>
    <n v="97"/>
    <n v="103"/>
    <n v="15903.95"/>
    <n v="154.41"/>
    <n v="0.12"/>
  </r>
  <r>
    <x v="51"/>
    <n v="227"/>
    <n v="278"/>
    <n v="15179.48"/>
    <n v="54.6"/>
    <n v="0.11"/>
  </r>
  <r>
    <x v="52"/>
    <n v="112"/>
    <n v="132"/>
    <n v="10797.82"/>
    <n v="81.8"/>
    <n v="0.08"/>
  </r>
  <r>
    <x v="53"/>
    <n v="121"/>
    <n v="131"/>
    <n v="9541.5499999999993"/>
    <n v="72.84"/>
    <n v="7.0000000000000007E-2"/>
  </r>
  <r>
    <x v="54"/>
    <n v="128"/>
    <n v="153"/>
    <n v="8800.82"/>
    <n v="57.52"/>
    <n v="0.06"/>
  </r>
  <r>
    <x v="55"/>
    <n v="79"/>
    <n v="83"/>
    <n v="7528.41"/>
    <n v="90.7"/>
    <n v="0.06"/>
  </r>
  <r>
    <x v="56"/>
    <n v="65"/>
    <n v="72"/>
    <n v="6933.46"/>
    <n v="96.3"/>
    <n v="0.05"/>
  </r>
  <r>
    <x v="57"/>
    <n v="38"/>
    <n v="38"/>
    <n v="6034.35"/>
    <n v="158.80000000000001"/>
    <n v="0.04"/>
  </r>
  <r>
    <x v="58"/>
    <n v="59"/>
    <n v="64"/>
    <n v="5999.39"/>
    <n v="93.74"/>
    <n v="0.04"/>
  </r>
  <r>
    <x v="59"/>
    <n v="53"/>
    <n v="60"/>
    <n v="4639.8500000000004"/>
    <n v="77.33"/>
    <n v="0.03"/>
  </r>
  <r>
    <x v="60"/>
    <n v="39"/>
    <n v="43"/>
    <n v="4485.18"/>
    <n v="104.31"/>
    <n v="0.03"/>
  </r>
  <r>
    <x v="61"/>
    <n v="38"/>
    <n v="38"/>
    <n v="4368.08"/>
    <n v="114.95"/>
    <n v="0.03"/>
  </r>
  <r>
    <x v="62"/>
    <n v="14"/>
    <n v="15"/>
    <n v="3968.53"/>
    <n v="264.57"/>
    <n v="0.03"/>
  </r>
  <r>
    <x v="63"/>
    <n v="39"/>
    <n v="48"/>
    <n v="2803.64"/>
    <n v="58.41"/>
    <n v="0.02"/>
  </r>
  <r>
    <x v="64"/>
    <n v="27"/>
    <n v="30"/>
    <n v="2119.5100000000002"/>
    <n v="70.650000000000006"/>
    <n v="0.02"/>
  </r>
  <r>
    <x v="65"/>
    <n v="13"/>
    <n v="14"/>
    <n v="2054.9899999999998"/>
    <n v="146.79"/>
    <n v="0.02"/>
  </r>
  <r>
    <x v="66"/>
    <n v="23"/>
    <n v="24"/>
    <n v="1814.01"/>
    <n v="75.58"/>
    <n v="0.01"/>
  </r>
  <r>
    <x v="67"/>
    <n v="27"/>
    <n v="39"/>
    <n v="1567.59"/>
    <n v="40.19"/>
    <n v="0.01"/>
  </r>
  <r>
    <x v="68"/>
    <n v="8"/>
    <n v="9"/>
    <n v="1545.95"/>
    <n v="171.77"/>
    <n v="0.01"/>
  </r>
  <r>
    <x v="69"/>
    <n v="29"/>
    <n v="33"/>
    <n v="1110.04"/>
    <n v="33.64"/>
    <n v="0.01"/>
  </r>
  <r>
    <x v="70"/>
    <n v="24"/>
    <n v="30"/>
    <n v="760.27"/>
    <n v="25.34"/>
    <n v="0.01"/>
  </r>
  <r>
    <x v="71"/>
    <n v="12"/>
    <n v="14"/>
    <n v="730"/>
    <n v="52.14"/>
    <n v="0.01"/>
  </r>
  <r>
    <x v="72"/>
    <n v="8"/>
    <n v="8"/>
    <n v="569.85"/>
    <n v="71.23"/>
    <n v="0"/>
  </r>
  <r>
    <x v="73"/>
    <n v="2"/>
    <n v="2"/>
    <n v="283.29000000000002"/>
    <n v="141.65"/>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D30DBC-FFFF-4D13-9CAE-A0256C87E83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4" firstHeaderRow="0" firstDataRow="1" firstDataCol="1"/>
  <pivotFields count="6">
    <pivotField axis="axisRow" showAll="0" measureFilter="1" sortType="descending">
      <items count="75">
        <item x="29"/>
        <item x="41"/>
        <item x="51"/>
        <item x="44"/>
        <item x="66"/>
        <item x="60"/>
        <item x="54"/>
        <item x="34"/>
        <item x="8"/>
        <item x="11"/>
        <item x="46"/>
        <item x="0"/>
        <item x="10"/>
        <item x="2"/>
        <item x="32"/>
        <item x="70"/>
        <item x="27"/>
        <item x="71"/>
        <item x="56"/>
        <item x="33"/>
        <item x="22"/>
        <item x="24"/>
        <item x="50"/>
        <item x="38"/>
        <item x="43"/>
        <item x="39"/>
        <item x="6"/>
        <item x="58"/>
        <item x="28"/>
        <item x="26"/>
        <item x="21"/>
        <item x="19"/>
        <item x="3"/>
        <item x="23"/>
        <item x="45"/>
        <item x="64"/>
        <item x="63"/>
        <item x="72"/>
        <item x="52"/>
        <item x="53"/>
        <item x="9"/>
        <item x="69"/>
        <item x="67"/>
        <item x="40"/>
        <item x="4"/>
        <item x="18"/>
        <item x="65"/>
        <item x="59"/>
        <item x="36"/>
        <item x="49"/>
        <item x="25"/>
        <item x="42"/>
        <item x="61"/>
        <item x="37"/>
        <item x="5"/>
        <item x="14"/>
        <item x="48"/>
        <item x="30"/>
        <item x="57"/>
        <item x="15"/>
        <item x="68"/>
        <item x="16"/>
        <item x="12"/>
        <item x="17"/>
        <item x="35"/>
        <item x="62"/>
        <item x="1"/>
        <item x="73"/>
        <item x="47"/>
        <item x="55"/>
        <item x="13"/>
        <item x="31"/>
        <item x="20"/>
        <item x="7"/>
        <item t="default"/>
      </items>
      <autoSortScope>
        <pivotArea dataOnly="0" outline="0" fieldPosition="0">
          <references count="1">
            <reference field="4294967294" count="1" selected="0">
              <x v="2"/>
            </reference>
          </references>
        </pivotArea>
      </autoSortScope>
    </pivotField>
    <pivotField showAll="0"/>
    <pivotField dataField="1" showAll="0"/>
    <pivotField dataField="1" showAll="0"/>
    <pivotField dataField="1" showAll="0"/>
    <pivotField dataField="1" showAll="0"/>
  </pivotFields>
  <rowFields count="1">
    <field x="0"/>
  </rowFields>
  <rowItems count="11">
    <i>
      <x v="11"/>
    </i>
    <i>
      <x v="66"/>
    </i>
    <i>
      <x v="13"/>
    </i>
    <i>
      <x v="32"/>
    </i>
    <i>
      <x v="44"/>
    </i>
    <i>
      <x v="54"/>
    </i>
    <i>
      <x v="26"/>
    </i>
    <i>
      <x v="73"/>
    </i>
    <i>
      <x v="8"/>
    </i>
    <i>
      <x v="40"/>
    </i>
    <i t="grand">
      <x/>
    </i>
  </rowItems>
  <colFields count="1">
    <field x="-2"/>
  </colFields>
  <colItems count="4">
    <i>
      <x/>
    </i>
    <i i="1">
      <x v="1"/>
    </i>
    <i i="2">
      <x v="2"/>
    </i>
    <i i="3">
      <x v="3"/>
    </i>
  </colItems>
  <dataFields count="4">
    <dataField name="Share of Item Sales (%)" fld="5" baseField="0" baseItem="0" numFmtId="2"/>
    <dataField name="Order Item Records" fld="2" baseField="0" baseItem="0"/>
    <dataField name="item Sales Value (R$)" fld="3" baseField="0" baseItem="0" numFmtId="164"/>
    <dataField name="Average Item Price (R$)" fld="4" subtotal="average" baseField="0" baseItem="0" numFmtId="164"/>
  </dataField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99EDDE-AABD-4ABA-A7F2-C1C1AE2077AF}" name="Table1" displayName="Table1" ref="H3:I13" totalsRowShown="0">
  <autoFilter ref="H3:I13" xr:uid="{8699EDDE-AABD-4ABA-A7F2-C1C1AE2077AF}"/>
  <sortState xmlns:xlrd2="http://schemas.microsoft.com/office/spreadsheetml/2017/richdata2" ref="H4:I77">
    <sortCondition descending="1" ref="I3:I77"/>
  </sortState>
  <tableColumns count="2">
    <tableColumn id="1" xr3:uid="{E678B9B5-703A-471D-BF57-F6F88FEAC52E}" name="Product Category"/>
    <tableColumn id="2" xr3:uid="{EE1E308C-C590-4F2C-ACCC-65AE7E62B654}" name="Item Sales Valu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1F555-A5B1-44F9-9B0D-1E1D34F7641C}">
  <dimension ref="A1:F75"/>
  <sheetViews>
    <sheetView tabSelected="1" topLeftCell="A47" workbookViewId="0">
      <selection activeCell="G77" sqref="G77"/>
    </sheetView>
  </sheetViews>
  <sheetFormatPr defaultRowHeight="14.4"/>
  <cols>
    <col min="1" max="1" width="41.33203125" bestFit="1" customWidth="1"/>
    <col min="2" max="2" width="12.88671875" bestFit="1" customWidth="1"/>
    <col min="3" max="3" width="16.77734375" bestFit="1" customWidth="1"/>
    <col min="4" max="4" width="14.6640625" bestFit="1" customWidth="1"/>
    <col min="5" max="5" width="16.6640625" bestFit="1" customWidth="1"/>
    <col min="6" max="6" width="20.44140625" bestFit="1" customWidth="1"/>
  </cols>
  <sheetData>
    <row r="1" spans="1:6">
      <c r="A1" t="s">
        <v>0</v>
      </c>
      <c r="B1" t="s">
        <v>1</v>
      </c>
      <c r="C1" t="s">
        <v>2</v>
      </c>
      <c r="D1" t="s">
        <v>3</v>
      </c>
      <c r="E1" t="s">
        <v>4</v>
      </c>
      <c r="F1" t="s">
        <v>5</v>
      </c>
    </row>
    <row r="2" spans="1:6">
      <c r="A2" t="s">
        <v>6</v>
      </c>
      <c r="B2">
        <v>8836</v>
      </c>
      <c r="C2">
        <v>9670</v>
      </c>
      <c r="D2">
        <v>1258681.3400000001</v>
      </c>
      <c r="E2">
        <v>130.16</v>
      </c>
      <c r="F2">
        <v>9.26</v>
      </c>
    </row>
    <row r="3" spans="1:6">
      <c r="A3" t="s">
        <v>7</v>
      </c>
      <c r="B3">
        <v>5624</v>
      </c>
      <c r="C3">
        <v>5991</v>
      </c>
      <c r="D3">
        <v>1205005.68</v>
      </c>
      <c r="E3">
        <v>201.14</v>
      </c>
      <c r="F3">
        <v>8.8699999999999992</v>
      </c>
    </row>
    <row r="4" spans="1:6">
      <c r="A4" t="s">
        <v>8</v>
      </c>
      <c r="B4">
        <v>9417</v>
      </c>
      <c r="C4">
        <v>11115</v>
      </c>
      <c r="D4">
        <v>1036988.68</v>
      </c>
      <c r="E4">
        <v>93.3</v>
      </c>
      <c r="F4">
        <v>7.63</v>
      </c>
    </row>
    <row r="5" spans="1:6">
      <c r="A5" t="s">
        <v>9</v>
      </c>
      <c r="B5">
        <v>7720</v>
      </c>
      <c r="C5">
        <v>8641</v>
      </c>
      <c r="D5">
        <v>988048.97</v>
      </c>
      <c r="E5">
        <v>114.34</v>
      </c>
      <c r="F5">
        <v>7.27</v>
      </c>
    </row>
    <row r="6" spans="1:6">
      <c r="A6" t="s">
        <v>10</v>
      </c>
      <c r="B6">
        <v>6689</v>
      </c>
      <c r="C6">
        <v>7827</v>
      </c>
      <c r="D6">
        <v>911954.32</v>
      </c>
      <c r="E6">
        <v>116.51</v>
      </c>
      <c r="F6">
        <v>6.71</v>
      </c>
    </row>
    <row r="7" spans="1:6">
      <c r="A7" t="s">
        <v>11</v>
      </c>
      <c r="B7">
        <v>6449</v>
      </c>
      <c r="C7">
        <v>8334</v>
      </c>
      <c r="D7">
        <v>729762.49</v>
      </c>
      <c r="E7">
        <v>87.56</v>
      </c>
      <c r="F7">
        <v>5.37</v>
      </c>
    </row>
    <row r="8" spans="1:6">
      <c r="A8" t="s">
        <v>12</v>
      </c>
      <c r="B8">
        <v>3632</v>
      </c>
      <c r="C8">
        <v>3796</v>
      </c>
      <c r="D8">
        <v>635290.85</v>
      </c>
      <c r="E8">
        <v>167.36</v>
      </c>
      <c r="F8">
        <v>4.67</v>
      </c>
    </row>
    <row r="9" spans="1:6">
      <c r="A9" t="s">
        <v>13</v>
      </c>
      <c r="B9">
        <v>5884</v>
      </c>
      <c r="C9">
        <v>6964</v>
      </c>
      <c r="D9">
        <v>632248.66</v>
      </c>
      <c r="E9">
        <v>90.79</v>
      </c>
      <c r="F9">
        <v>4.6500000000000004</v>
      </c>
    </row>
    <row r="10" spans="1:6">
      <c r="A10" t="s">
        <v>14</v>
      </c>
      <c r="B10">
        <v>3897</v>
      </c>
      <c r="C10">
        <v>4235</v>
      </c>
      <c r="D10">
        <v>592720.11</v>
      </c>
      <c r="E10">
        <v>139.96</v>
      </c>
      <c r="F10">
        <v>4.3600000000000003</v>
      </c>
    </row>
    <row r="11" spans="1:6">
      <c r="A11" t="s">
        <v>15</v>
      </c>
      <c r="B11">
        <v>3518</v>
      </c>
      <c r="C11">
        <v>4347</v>
      </c>
      <c r="D11">
        <v>485256.46</v>
      </c>
      <c r="E11">
        <v>111.63</v>
      </c>
      <c r="F11">
        <v>3.57</v>
      </c>
    </row>
    <row r="12" spans="1:6">
      <c r="A12" t="s">
        <v>16</v>
      </c>
      <c r="B12">
        <v>3886</v>
      </c>
      <c r="C12">
        <v>4117</v>
      </c>
      <c r="D12">
        <v>483946.6</v>
      </c>
      <c r="E12">
        <v>117.55</v>
      </c>
      <c r="F12">
        <v>3.56</v>
      </c>
    </row>
    <row r="13" spans="1:6">
      <c r="A13" t="s">
        <v>17</v>
      </c>
      <c r="B13">
        <v>2885</v>
      </c>
      <c r="C13">
        <v>3065</v>
      </c>
      <c r="D13">
        <v>411764.89</v>
      </c>
      <c r="E13">
        <v>134.34</v>
      </c>
      <c r="F13">
        <v>3.03</v>
      </c>
    </row>
    <row r="14" spans="1:6">
      <c r="A14" t="s">
        <v>18</v>
      </c>
      <c r="B14">
        <v>3162</v>
      </c>
      <c r="C14">
        <v>3419</v>
      </c>
      <c r="D14">
        <v>399124.87</v>
      </c>
      <c r="E14">
        <v>116.74</v>
      </c>
      <c r="F14">
        <v>2.94</v>
      </c>
    </row>
    <row r="15" spans="1:6">
      <c r="A15" t="s">
        <v>19</v>
      </c>
      <c r="B15">
        <v>4199</v>
      </c>
      <c r="C15">
        <v>4545</v>
      </c>
      <c r="D15">
        <v>323667.53000000003</v>
      </c>
      <c r="E15">
        <v>71.209999999999994</v>
      </c>
      <c r="F15">
        <v>2.38</v>
      </c>
    </row>
    <row r="16" spans="1:6">
      <c r="A16" t="s">
        <v>20</v>
      </c>
      <c r="B16">
        <v>1273</v>
      </c>
      <c r="C16">
        <v>1691</v>
      </c>
      <c r="D16">
        <v>273960.7</v>
      </c>
      <c r="E16">
        <v>162.01</v>
      </c>
      <c r="F16">
        <v>2.02</v>
      </c>
    </row>
    <row r="17" spans="1:6">
      <c r="A17" t="s">
        <v>21</v>
      </c>
      <c r="B17">
        <v>2311</v>
      </c>
      <c r="C17">
        <v>2517</v>
      </c>
      <c r="D17">
        <v>230943.23</v>
      </c>
      <c r="E17">
        <v>91.75</v>
      </c>
      <c r="F17">
        <v>1.7</v>
      </c>
    </row>
    <row r="18" spans="1:6">
      <c r="A18" t="s">
        <v>22</v>
      </c>
      <c r="B18">
        <v>181</v>
      </c>
      <c r="C18">
        <v>203</v>
      </c>
      <c r="D18">
        <v>222963.13</v>
      </c>
      <c r="E18">
        <v>1098.3399999999999</v>
      </c>
      <c r="F18">
        <v>1.64</v>
      </c>
    </row>
    <row r="19" spans="1:6">
      <c r="A19" t="s">
        <v>23</v>
      </c>
      <c r="B19">
        <v>1710</v>
      </c>
      <c r="C19">
        <v>1947</v>
      </c>
      <c r="D19">
        <v>214315.41</v>
      </c>
      <c r="E19">
        <v>110.07</v>
      </c>
      <c r="F19">
        <v>1.58</v>
      </c>
    </row>
    <row r="20" spans="1:6">
      <c r="A20" t="s">
        <v>24</v>
      </c>
      <c r="B20">
        <v>628</v>
      </c>
      <c r="C20">
        <v>680</v>
      </c>
      <c r="D20">
        <v>191498.88</v>
      </c>
      <c r="E20">
        <v>281.62</v>
      </c>
      <c r="F20">
        <v>1.41</v>
      </c>
    </row>
    <row r="21" spans="1:6">
      <c r="A21" t="s">
        <v>25</v>
      </c>
      <c r="B21">
        <v>630</v>
      </c>
      <c r="C21">
        <v>679</v>
      </c>
      <c r="D21">
        <v>190648.58</v>
      </c>
      <c r="E21">
        <v>280.77999999999997</v>
      </c>
      <c r="F21">
        <v>1.4</v>
      </c>
    </row>
    <row r="22" spans="1:6">
      <c r="A22" t="s">
        <v>26</v>
      </c>
      <c r="B22">
        <v>1451</v>
      </c>
      <c r="C22">
        <v>1603</v>
      </c>
      <c r="D22">
        <v>179535.28</v>
      </c>
      <c r="E22">
        <v>112</v>
      </c>
      <c r="F22">
        <v>1.32</v>
      </c>
    </row>
    <row r="23" spans="1:6">
      <c r="A23" t="s">
        <v>27</v>
      </c>
      <c r="B23">
        <v>2550</v>
      </c>
      <c r="C23">
        <v>2767</v>
      </c>
      <c r="D23">
        <v>160246.74</v>
      </c>
      <c r="E23">
        <v>57.91</v>
      </c>
      <c r="F23">
        <v>1.18</v>
      </c>
    </row>
    <row r="24" spans="1:6">
      <c r="A24" t="s">
        <v>28</v>
      </c>
      <c r="B24">
        <v>1062</v>
      </c>
      <c r="C24">
        <v>1137</v>
      </c>
      <c r="D24">
        <v>157465.22</v>
      </c>
      <c r="E24">
        <v>138.49</v>
      </c>
      <c r="F24">
        <v>1.1599999999999999</v>
      </c>
    </row>
    <row r="25" spans="1:6">
      <c r="A25" t="s">
        <v>29</v>
      </c>
      <c r="B25">
        <v>1864</v>
      </c>
      <c r="C25">
        <v>2031</v>
      </c>
      <c r="D25">
        <v>152823.54</v>
      </c>
      <c r="E25">
        <v>75.25</v>
      </c>
      <c r="F25">
        <v>1.1200000000000001</v>
      </c>
    </row>
    <row r="26" spans="1:6">
      <c r="A26" t="s">
        <v>30</v>
      </c>
      <c r="B26">
        <v>748</v>
      </c>
      <c r="C26">
        <v>929</v>
      </c>
      <c r="D26">
        <v>144677.59</v>
      </c>
      <c r="E26">
        <v>155.72999999999999</v>
      </c>
      <c r="F26">
        <v>1.06</v>
      </c>
    </row>
    <row r="27" spans="1:6">
      <c r="A27" t="s">
        <v>31</v>
      </c>
      <c r="B27">
        <v>1034</v>
      </c>
      <c r="C27">
        <v>1092</v>
      </c>
      <c r="D27">
        <v>140429.98000000001</v>
      </c>
      <c r="E27">
        <v>128.6</v>
      </c>
      <c r="F27">
        <v>1.03</v>
      </c>
    </row>
    <row r="28" spans="1:6">
      <c r="A28" t="s">
        <v>32</v>
      </c>
      <c r="B28">
        <v>234</v>
      </c>
      <c r="C28">
        <v>238</v>
      </c>
      <c r="D28">
        <v>113317.74</v>
      </c>
      <c r="E28">
        <v>476.12</v>
      </c>
      <c r="F28">
        <v>0.83</v>
      </c>
    </row>
    <row r="29" spans="1:6">
      <c r="A29" t="s">
        <v>33</v>
      </c>
      <c r="B29">
        <v>490</v>
      </c>
      <c r="C29">
        <v>604</v>
      </c>
      <c r="D29">
        <v>83088.12</v>
      </c>
      <c r="E29">
        <v>137.56</v>
      </c>
      <c r="F29">
        <v>0.61</v>
      </c>
    </row>
    <row r="30" spans="1:6">
      <c r="A30" t="s">
        <v>34</v>
      </c>
      <c r="B30">
        <v>764</v>
      </c>
      <c r="C30">
        <v>771</v>
      </c>
      <c r="D30">
        <v>80171.53</v>
      </c>
      <c r="E30">
        <v>103.98</v>
      </c>
      <c r="F30">
        <v>0.59</v>
      </c>
    </row>
    <row r="31" spans="1:6">
      <c r="A31" t="s">
        <v>35</v>
      </c>
      <c r="B31">
        <v>182</v>
      </c>
      <c r="C31">
        <v>212</v>
      </c>
      <c r="D31">
        <v>72530.47</v>
      </c>
      <c r="E31">
        <v>342.12</v>
      </c>
      <c r="F31">
        <v>0.53</v>
      </c>
    </row>
    <row r="32" spans="1:6">
      <c r="A32" t="s">
        <v>36</v>
      </c>
      <c r="B32">
        <v>422</v>
      </c>
      <c r="C32">
        <v>503</v>
      </c>
      <c r="D32">
        <v>68916.56</v>
      </c>
      <c r="E32">
        <v>137.01</v>
      </c>
      <c r="F32">
        <v>0.51</v>
      </c>
    </row>
    <row r="33" spans="1:6">
      <c r="A33" t="s">
        <v>37</v>
      </c>
      <c r="B33">
        <v>217</v>
      </c>
      <c r="C33">
        <v>264</v>
      </c>
      <c r="D33">
        <v>59583</v>
      </c>
      <c r="E33">
        <v>225.69</v>
      </c>
      <c r="F33">
        <v>0.44</v>
      </c>
    </row>
    <row r="34" spans="1:6">
      <c r="A34" t="s">
        <v>38</v>
      </c>
      <c r="B34">
        <v>397</v>
      </c>
      <c r="C34">
        <v>434</v>
      </c>
      <c r="D34">
        <v>58572.04</v>
      </c>
      <c r="E34">
        <v>134.96</v>
      </c>
      <c r="F34">
        <v>0.43</v>
      </c>
    </row>
    <row r="35" spans="1:6">
      <c r="A35" t="s">
        <v>39</v>
      </c>
      <c r="B35">
        <v>253</v>
      </c>
      <c r="C35">
        <v>297</v>
      </c>
      <c r="D35">
        <v>55024.959999999999</v>
      </c>
      <c r="E35">
        <v>185.27</v>
      </c>
      <c r="F35">
        <v>0.4</v>
      </c>
    </row>
    <row r="36" spans="1:6">
      <c r="A36" t="s">
        <v>40</v>
      </c>
      <c r="B36">
        <v>350</v>
      </c>
      <c r="C36">
        <v>364</v>
      </c>
      <c r="D36">
        <v>50688.5</v>
      </c>
      <c r="E36">
        <v>139.25</v>
      </c>
      <c r="F36">
        <v>0.37</v>
      </c>
    </row>
    <row r="37" spans="1:6">
      <c r="A37" t="s">
        <v>41</v>
      </c>
      <c r="B37">
        <v>75</v>
      </c>
      <c r="C37">
        <v>76</v>
      </c>
      <c r="D37">
        <v>47445.71</v>
      </c>
      <c r="E37">
        <v>624.29</v>
      </c>
      <c r="F37">
        <v>0.35</v>
      </c>
    </row>
    <row r="38" spans="1:6">
      <c r="A38" t="s">
        <v>42</v>
      </c>
      <c r="B38">
        <v>512</v>
      </c>
      <c r="C38">
        <v>553</v>
      </c>
      <c r="D38">
        <v>46856.88</v>
      </c>
      <c r="E38">
        <v>84.73</v>
      </c>
      <c r="F38">
        <v>0.34</v>
      </c>
    </row>
    <row r="39" spans="1:6">
      <c r="A39" t="s">
        <v>43</v>
      </c>
      <c r="B39">
        <v>248</v>
      </c>
      <c r="C39">
        <v>281</v>
      </c>
      <c r="D39">
        <v>46328.37</v>
      </c>
      <c r="E39">
        <v>164.87</v>
      </c>
      <c r="F39">
        <v>0.34</v>
      </c>
    </row>
    <row r="40" spans="1:6">
      <c r="A40" t="s">
        <v>44</v>
      </c>
      <c r="B40">
        <v>244</v>
      </c>
      <c r="C40">
        <v>304</v>
      </c>
      <c r="D40">
        <v>41080</v>
      </c>
      <c r="E40">
        <v>135.13</v>
      </c>
      <c r="F40">
        <v>0.3</v>
      </c>
    </row>
    <row r="41" spans="1:6">
      <c r="A41" t="s">
        <v>45</v>
      </c>
      <c r="B41">
        <v>167</v>
      </c>
      <c r="C41">
        <v>194</v>
      </c>
      <c r="D41">
        <v>40544.519999999997</v>
      </c>
      <c r="E41">
        <v>208.99</v>
      </c>
      <c r="F41">
        <v>0.3</v>
      </c>
    </row>
    <row r="42" spans="1:6">
      <c r="A42" t="s">
        <v>46</v>
      </c>
      <c r="B42">
        <v>235</v>
      </c>
      <c r="C42">
        <v>268</v>
      </c>
      <c r="D42">
        <v>39669.61</v>
      </c>
      <c r="E42">
        <v>148.02000000000001</v>
      </c>
      <c r="F42">
        <v>0.28999999999999998</v>
      </c>
    </row>
    <row r="43" spans="1:6">
      <c r="A43" t="s">
        <v>47</v>
      </c>
      <c r="B43">
        <v>450</v>
      </c>
      <c r="C43">
        <v>510</v>
      </c>
      <c r="D43">
        <v>29393.41</v>
      </c>
      <c r="E43">
        <v>57.63</v>
      </c>
      <c r="F43">
        <v>0.22</v>
      </c>
    </row>
    <row r="44" spans="1:6">
      <c r="A44" t="s">
        <v>48</v>
      </c>
      <c r="B44">
        <v>280</v>
      </c>
      <c r="C44">
        <v>311</v>
      </c>
      <c r="D44">
        <v>28378.47</v>
      </c>
      <c r="E44">
        <v>91.25</v>
      </c>
      <c r="F44">
        <v>0.21</v>
      </c>
    </row>
    <row r="45" spans="1:6">
      <c r="A45" t="s">
        <v>49</v>
      </c>
      <c r="B45">
        <v>194</v>
      </c>
      <c r="C45">
        <v>238</v>
      </c>
      <c r="D45">
        <v>25715.89</v>
      </c>
      <c r="E45">
        <v>108.05</v>
      </c>
      <c r="F45">
        <v>0.19</v>
      </c>
    </row>
    <row r="46" spans="1:6">
      <c r="A46" t="s">
        <v>50</v>
      </c>
      <c r="B46">
        <v>202</v>
      </c>
      <c r="C46">
        <v>209</v>
      </c>
      <c r="D46">
        <v>24202.639999999999</v>
      </c>
      <c r="E46">
        <v>115.8</v>
      </c>
      <c r="F46">
        <v>0.18</v>
      </c>
    </row>
    <row r="47" spans="1:6">
      <c r="A47" t="s">
        <v>51</v>
      </c>
      <c r="B47">
        <v>240</v>
      </c>
      <c r="C47">
        <v>262</v>
      </c>
      <c r="D47">
        <v>23562.77</v>
      </c>
      <c r="E47">
        <v>89.93</v>
      </c>
      <c r="F47">
        <v>0.17</v>
      </c>
    </row>
    <row r="48" spans="1:6">
      <c r="A48" t="s">
        <v>52</v>
      </c>
      <c r="B48">
        <v>297</v>
      </c>
      <c r="C48">
        <v>379</v>
      </c>
      <c r="D48">
        <v>22428.7</v>
      </c>
      <c r="E48">
        <v>59.18</v>
      </c>
      <c r="F48">
        <v>0.17</v>
      </c>
    </row>
    <row r="49" spans="1:6">
      <c r="A49" t="s">
        <v>53</v>
      </c>
      <c r="B49">
        <v>140</v>
      </c>
      <c r="C49">
        <v>199</v>
      </c>
      <c r="D49">
        <v>21509.23</v>
      </c>
      <c r="E49">
        <v>108.09</v>
      </c>
      <c r="F49">
        <v>0.16</v>
      </c>
    </row>
    <row r="50" spans="1:6">
      <c r="A50" t="s">
        <v>54</v>
      </c>
      <c r="B50">
        <v>95</v>
      </c>
      <c r="C50">
        <v>109</v>
      </c>
      <c r="D50">
        <v>20028.78</v>
      </c>
      <c r="E50">
        <v>183.75</v>
      </c>
      <c r="F50">
        <v>0.15</v>
      </c>
    </row>
    <row r="51" spans="1:6">
      <c r="A51" t="s">
        <v>55</v>
      </c>
      <c r="B51">
        <v>260</v>
      </c>
      <c r="C51">
        <v>267</v>
      </c>
      <c r="D51">
        <v>19096.060000000001</v>
      </c>
      <c r="E51">
        <v>71.52</v>
      </c>
      <c r="F51">
        <v>0.14000000000000001</v>
      </c>
    </row>
    <row r="52" spans="1:6">
      <c r="A52" t="s">
        <v>56</v>
      </c>
      <c r="B52">
        <v>97</v>
      </c>
      <c r="C52">
        <v>103</v>
      </c>
      <c r="D52">
        <v>15903.95</v>
      </c>
      <c r="E52">
        <v>154.41</v>
      </c>
      <c r="F52">
        <v>0.12</v>
      </c>
    </row>
    <row r="53" spans="1:6">
      <c r="A53" t="s">
        <v>57</v>
      </c>
      <c r="B53">
        <v>227</v>
      </c>
      <c r="C53">
        <v>278</v>
      </c>
      <c r="D53">
        <v>15179.48</v>
      </c>
      <c r="E53">
        <v>54.6</v>
      </c>
      <c r="F53">
        <v>0.11</v>
      </c>
    </row>
    <row r="54" spans="1:6">
      <c r="A54" t="s">
        <v>58</v>
      </c>
      <c r="B54">
        <v>112</v>
      </c>
      <c r="C54">
        <v>132</v>
      </c>
      <c r="D54">
        <v>10797.82</v>
      </c>
      <c r="E54">
        <v>81.8</v>
      </c>
      <c r="F54">
        <v>0.08</v>
      </c>
    </row>
    <row r="55" spans="1:6">
      <c r="A55" t="s">
        <v>59</v>
      </c>
      <c r="B55">
        <v>121</v>
      </c>
      <c r="C55">
        <v>131</v>
      </c>
      <c r="D55">
        <v>9541.5499999999993</v>
      </c>
      <c r="E55">
        <v>72.84</v>
      </c>
      <c r="F55">
        <v>7.0000000000000007E-2</v>
      </c>
    </row>
    <row r="56" spans="1:6">
      <c r="A56" t="s">
        <v>60</v>
      </c>
      <c r="B56">
        <v>128</v>
      </c>
      <c r="C56">
        <v>153</v>
      </c>
      <c r="D56">
        <v>8800.82</v>
      </c>
      <c r="E56">
        <v>57.52</v>
      </c>
      <c r="F56">
        <v>0.06</v>
      </c>
    </row>
    <row r="57" spans="1:6">
      <c r="A57" t="s">
        <v>61</v>
      </c>
      <c r="B57">
        <v>79</v>
      </c>
      <c r="C57">
        <v>83</v>
      </c>
      <c r="D57">
        <v>7528.41</v>
      </c>
      <c r="E57">
        <v>90.7</v>
      </c>
      <c r="F57">
        <v>0.06</v>
      </c>
    </row>
    <row r="58" spans="1:6">
      <c r="A58" t="s">
        <v>62</v>
      </c>
      <c r="B58">
        <v>65</v>
      </c>
      <c r="C58">
        <v>72</v>
      </c>
      <c r="D58">
        <v>6933.46</v>
      </c>
      <c r="E58">
        <v>96.3</v>
      </c>
      <c r="F58">
        <v>0.05</v>
      </c>
    </row>
    <row r="59" spans="1:6">
      <c r="A59" t="s">
        <v>63</v>
      </c>
      <c r="B59">
        <v>38</v>
      </c>
      <c r="C59">
        <v>38</v>
      </c>
      <c r="D59">
        <v>6034.35</v>
      </c>
      <c r="E59">
        <v>158.80000000000001</v>
      </c>
      <c r="F59">
        <v>0.04</v>
      </c>
    </row>
    <row r="60" spans="1:6">
      <c r="A60" t="s">
        <v>64</v>
      </c>
      <c r="B60">
        <v>59</v>
      </c>
      <c r="C60">
        <v>64</v>
      </c>
      <c r="D60">
        <v>5999.39</v>
      </c>
      <c r="E60">
        <v>93.74</v>
      </c>
      <c r="F60">
        <v>0.04</v>
      </c>
    </row>
    <row r="61" spans="1:6">
      <c r="A61" t="s">
        <v>65</v>
      </c>
      <c r="B61">
        <v>53</v>
      </c>
      <c r="C61">
        <v>60</v>
      </c>
      <c r="D61">
        <v>4639.8500000000004</v>
      </c>
      <c r="E61">
        <v>77.33</v>
      </c>
      <c r="F61">
        <v>0.03</v>
      </c>
    </row>
    <row r="62" spans="1:6">
      <c r="A62" t="s">
        <v>66</v>
      </c>
      <c r="B62">
        <v>39</v>
      </c>
      <c r="C62">
        <v>43</v>
      </c>
      <c r="D62">
        <v>4485.18</v>
      </c>
      <c r="E62">
        <v>104.31</v>
      </c>
      <c r="F62">
        <v>0.03</v>
      </c>
    </row>
    <row r="63" spans="1:6">
      <c r="A63" t="s">
        <v>67</v>
      </c>
      <c r="B63">
        <v>38</v>
      </c>
      <c r="C63">
        <v>38</v>
      </c>
      <c r="D63">
        <v>4368.08</v>
      </c>
      <c r="E63">
        <v>114.95</v>
      </c>
      <c r="F63">
        <v>0.03</v>
      </c>
    </row>
    <row r="64" spans="1:6">
      <c r="A64" t="s">
        <v>68</v>
      </c>
      <c r="B64">
        <v>14</v>
      </c>
      <c r="C64">
        <v>15</v>
      </c>
      <c r="D64">
        <v>3968.53</v>
      </c>
      <c r="E64">
        <v>264.57</v>
      </c>
      <c r="F64">
        <v>0.03</v>
      </c>
    </row>
    <row r="65" spans="1:6">
      <c r="A65" t="s">
        <v>69</v>
      </c>
      <c r="B65">
        <v>39</v>
      </c>
      <c r="C65">
        <v>48</v>
      </c>
      <c r="D65">
        <v>2803.64</v>
      </c>
      <c r="E65">
        <v>58.41</v>
      </c>
      <c r="F65">
        <v>0.02</v>
      </c>
    </row>
    <row r="66" spans="1:6">
      <c r="A66" t="s">
        <v>70</v>
      </c>
      <c r="B66">
        <v>27</v>
      </c>
      <c r="C66">
        <v>30</v>
      </c>
      <c r="D66">
        <v>2119.5100000000002</v>
      </c>
      <c r="E66">
        <v>70.650000000000006</v>
      </c>
      <c r="F66">
        <v>0.02</v>
      </c>
    </row>
    <row r="67" spans="1:6">
      <c r="A67" t="s">
        <v>71</v>
      </c>
      <c r="B67">
        <v>13</v>
      </c>
      <c r="C67">
        <v>14</v>
      </c>
      <c r="D67">
        <v>2054.9899999999998</v>
      </c>
      <c r="E67">
        <v>146.79</v>
      </c>
      <c r="F67">
        <v>0.02</v>
      </c>
    </row>
    <row r="68" spans="1:6">
      <c r="A68" t="s">
        <v>72</v>
      </c>
      <c r="B68">
        <v>23</v>
      </c>
      <c r="C68">
        <v>24</v>
      </c>
      <c r="D68">
        <v>1814.01</v>
      </c>
      <c r="E68">
        <v>75.58</v>
      </c>
      <c r="F68">
        <v>0.01</v>
      </c>
    </row>
    <row r="69" spans="1:6">
      <c r="A69" t="s">
        <v>73</v>
      </c>
      <c r="B69">
        <v>27</v>
      </c>
      <c r="C69">
        <v>39</v>
      </c>
      <c r="D69">
        <v>1567.59</v>
      </c>
      <c r="E69">
        <v>40.19</v>
      </c>
      <c r="F69">
        <v>0.01</v>
      </c>
    </row>
    <row r="70" spans="1:6">
      <c r="A70" t="s">
        <v>74</v>
      </c>
      <c r="B70">
        <v>8</v>
      </c>
      <c r="C70">
        <v>9</v>
      </c>
      <c r="D70">
        <v>1545.95</v>
      </c>
      <c r="E70">
        <v>171.77</v>
      </c>
      <c r="F70">
        <v>0.01</v>
      </c>
    </row>
    <row r="71" spans="1:6">
      <c r="A71" t="s">
        <v>75</v>
      </c>
      <c r="B71">
        <v>29</v>
      </c>
      <c r="C71">
        <v>33</v>
      </c>
      <c r="D71">
        <v>1110.04</v>
      </c>
      <c r="E71">
        <v>33.64</v>
      </c>
      <c r="F71">
        <v>0.01</v>
      </c>
    </row>
    <row r="72" spans="1:6">
      <c r="A72" t="s">
        <v>76</v>
      </c>
      <c r="B72">
        <v>24</v>
      </c>
      <c r="C72">
        <v>30</v>
      </c>
      <c r="D72">
        <v>760.27</v>
      </c>
      <c r="E72">
        <v>25.34</v>
      </c>
      <c r="F72">
        <v>0.01</v>
      </c>
    </row>
    <row r="73" spans="1:6">
      <c r="A73" t="s">
        <v>77</v>
      </c>
      <c r="B73">
        <v>12</v>
      </c>
      <c r="C73">
        <v>14</v>
      </c>
      <c r="D73">
        <v>730</v>
      </c>
      <c r="E73">
        <v>52.14</v>
      </c>
      <c r="F73">
        <v>0.01</v>
      </c>
    </row>
    <row r="74" spans="1:6">
      <c r="A74" t="s">
        <v>78</v>
      </c>
      <c r="B74">
        <v>8</v>
      </c>
      <c r="C74">
        <v>8</v>
      </c>
      <c r="D74">
        <v>569.85</v>
      </c>
      <c r="E74">
        <v>71.23</v>
      </c>
      <c r="F74">
        <v>0</v>
      </c>
    </row>
    <row r="75" spans="1:6">
      <c r="A75" t="s">
        <v>79</v>
      </c>
      <c r="B75">
        <v>2</v>
      </c>
      <c r="C75">
        <v>2</v>
      </c>
      <c r="D75">
        <v>283.29000000000002</v>
      </c>
      <c r="E75">
        <v>141.65</v>
      </c>
      <c r="F75">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B3329-9582-4C1E-9B15-C04CF3999554}">
  <dimension ref="A2:I84"/>
  <sheetViews>
    <sheetView topLeftCell="A33" workbookViewId="0">
      <selection activeCell="A46" sqref="A46"/>
    </sheetView>
  </sheetViews>
  <sheetFormatPr defaultRowHeight="14.4"/>
  <cols>
    <col min="1" max="1" width="20" bestFit="1" customWidth="1"/>
    <col min="2" max="2" width="20.21875" bestFit="1" customWidth="1"/>
    <col min="3" max="3" width="17.33203125" bestFit="1" customWidth="1"/>
    <col min="4" max="4" width="18.77734375" bestFit="1" customWidth="1"/>
    <col min="5" max="5" width="20.44140625" bestFit="1" customWidth="1"/>
    <col min="8" max="8" width="41.33203125" bestFit="1" customWidth="1"/>
    <col min="9" max="9" width="20.6640625" bestFit="1" customWidth="1"/>
  </cols>
  <sheetData>
    <row r="2" spans="1:9">
      <c r="A2" s="5" t="s">
        <v>88</v>
      </c>
    </row>
    <row r="3" spans="1:9">
      <c r="A3" s="1" t="s">
        <v>80</v>
      </c>
      <c r="B3" t="s">
        <v>84</v>
      </c>
      <c r="C3" t="s">
        <v>83</v>
      </c>
      <c r="D3" t="s">
        <v>82</v>
      </c>
      <c r="E3" t="s">
        <v>85</v>
      </c>
      <c r="H3" t="s">
        <v>86</v>
      </c>
      <c r="I3" t="s">
        <v>87</v>
      </c>
    </row>
    <row r="4" spans="1:9">
      <c r="A4" s="2" t="s">
        <v>6</v>
      </c>
      <c r="B4" s="4">
        <v>9.26</v>
      </c>
      <c r="C4">
        <v>9670</v>
      </c>
      <c r="D4" s="3">
        <v>1258681.3400000001</v>
      </c>
      <c r="E4" s="3">
        <v>130.16</v>
      </c>
      <c r="H4" s="2" t="s">
        <v>6</v>
      </c>
      <c r="I4" s="3">
        <v>1258681.3400000001</v>
      </c>
    </row>
    <row r="5" spans="1:9">
      <c r="A5" s="2" t="s">
        <v>7</v>
      </c>
      <c r="B5" s="4">
        <v>8.8699999999999992</v>
      </c>
      <c r="C5">
        <v>5991</v>
      </c>
      <c r="D5" s="3">
        <v>1205005.68</v>
      </c>
      <c r="E5" s="3">
        <v>201.14</v>
      </c>
      <c r="H5" s="2" t="s">
        <v>7</v>
      </c>
      <c r="I5" s="3">
        <v>1205005.68</v>
      </c>
    </row>
    <row r="6" spans="1:9">
      <c r="A6" s="2" t="s">
        <v>8</v>
      </c>
      <c r="B6" s="4">
        <v>7.63</v>
      </c>
      <c r="C6">
        <v>11115</v>
      </c>
      <c r="D6" s="3">
        <v>1036988.68</v>
      </c>
      <c r="E6" s="3">
        <v>93.3</v>
      </c>
      <c r="H6" s="2" t="s">
        <v>8</v>
      </c>
      <c r="I6" s="3">
        <v>1036988.68</v>
      </c>
    </row>
    <row r="7" spans="1:9">
      <c r="A7" s="2" t="s">
        <v>9</v>
      </c>
      <c r="B7" s="4">
        <v>7.27</v>
      </c>
      <c r="C7">
        <v>8641</v>
      </c>
      <c r="D7" s="3">
        <v>988048.97</v>
      </c>
      <c r="E7" s="3">
        <v>114.34</v>
      </c>
      <c r="H7" s="2" t="s">
        <v>9</v>
      </c>
      <c r="I7" s="3">
        <v>988048.97</v>
      </c>
    </row>
    <row r="8" spans="1:9">
      <c r="A8" s="2" t="s">
        <v>10</v>
      </c>
      <c r="B8" s="4">
        <v>6.71</v>
      </c>
      <c r="C8">
        <v>7827</v>
      </c>
      <c r="D8" s="3">
        <v>911954.32</v>
      </c>
      <c r="E8" s="3">
        <v>116.51</v>
      </c>
      <c r="H8" s="2" t="s">
        <v>10</v>
      </c>
      <c r="I8" s="3">
        <v>911954.32</v>
      </c>
    </row>
    <row r="9" spans="1:9">
      <c r="A9" s="2" t="s">
        <v>11</v>
      </c>
      <c r="B9" s="4">
        <v>5.37</v>
      </c>
      <c r="C9">
        <v>8334</v>
      </c>
      <c r="D9" s="3">
        <v>729762.49</v>
      </c>
      <c r="E9" s="3">
        <v>87.56</v>
      </c>
      <c r="H9" s="2" t="s">
        <v>11</v>
      </c>
      <c r="I9" s="3">
        <v>729762.49</v>
      </c>
    </row>
    <row r="10" spans="1:9">
      <c r="A10" s="2" t="s">
        <v>12</v>
      </c>
      <c r="B10" s="4">
        <v>4.67</v>
      </c>
      <c r="C10">
        <v>3796</v>
      </c>
      <c r="D10" s="3">
        <v>635290.85</v>
      </c>
      <c r="E10" s="3">
        <v>167.36</v>
      </c>
      <c r="H10" s="2" t="s">
        <v>12</v>
      </c>
      <c r="I10" s="3">
        <v>635290.85</v>
      </c>
    </row>
    <row r="11" spans="1:9">
      <c r="A11" s="2" t="s">
        <v>13</v>
      </c>
      <c r="B11" s="4">
        <v>4.6500000000000004</v>
      </c>
      <c r="C11">
        <v>6964</v>
      </c>
      <c r="D11" s="3">
        <v>632248.66</v>
      </c>
      <c r="E11" s="3">
        <v>90.79</v>
      </c>
      <c r="H11" s="2" t="s">
        <v>13</v>
      </c>
      <c r="I11" s="3">
        <v>632248.66</v>
      </c>
    </row>
    <row r="12" spans="1:9">
      <c r="A12" s="2" t="s">
        <v>14</v>
      </c>
      <c r="B12" s="4">
        <v>4.3600000000000003</v>
      </c>
      <c r="C12">
        <v>4235</v>
      </c>
      <c r="D12" s="3">
        <v>592720.11</v>
      </c>
      <c r="E12" s="3">
        <v>139.96</v>
      </c>
      <c r="H12" s="2" t="s">
        <v>14</v>
      </c>
      <c r="I12" s="3">
        <v>592720.11</v>
      </c>
    </row>
    <row r="13" spans="1:9">
      <c r="A13" s="2" t="s">
        <v>15</v>
      </c>
      <c r="B13" s="4">
        <v>3.57</v>
      </c>
      <c r="C13">
        <v>4347</v>
      </c>
      <c r="D13" s="3">
        <v>485256.46</v>
      </c>
      <c r="E13" s="3">
        <v>111.63</v>
      </c>
      <c r="H13" s="2" t="s">
        <v>15</v>
      </c>
      <c r="I13" s="3">
        <v>485256.46</v>
      </c>
    </row>
    <row r="14" spans="1:9">
      <c r="A14" s="2" t="s">
        <v>81</v>
      </c>
      <c r="B14" s="4">
        <v>62.359999999999992</v>
      </c>
      <c r="C14">
        <v>70920</v>
      </c>
      <c r="D14" s="3">
        <v>8475957.5600000005</v>
      </c>
      <c r="E14" s="3">
        <v>125.27500000000001</v>
      </c>
      <c r="H14" s="2"/>
      <c r="I14" s="3"/>
    </row>
    <row r="15" spans="1:9">
      <c r="H15" s="2"/>
      <c r="I15" s="3"/>
    </row>
    <row r="16" spans="1:9">
      <c r="H16" s="2"/>
      <c r="I16" s="3"/>
    </row>
    <row r="17" spans="1:9">
      <c r="H17" s="2"/>
      <c r="I17" s="3"/>
    </row>
    <row r="18" spans="1:9">
      <c r="H18" s="2"/>
      <c r="I18" s="3"/>
    </row>
    <row r="19" spans="1:9">
      <c r="H19" s="2"/>
      <c r="I19" s="3"/>
    </row>
    <row r="20" spans="1:9">
      <c r="A20" s="5" t="s">
        <v>89</v>
      </c>
      <c r="H20" s="2"/>
      <c r="I20" s="3"/>
    </row>
    <row r="21" spans="1:9">
      <c r="H21" s="2"/>
      <c r="I21" s="3"/>
    </row>
    <row r="22" spans="1:9">
      <c r="H22" s="2"/>
      <c r="I22" s="3"/>
    </row>
    <row r="23" spans="1:9">
      <c r="H23" s="2"/>
      <c r="I23" s="3"/>
    </row>
    <row r="24" spans="1:9">
      <c r="H24" s="2"/>
      <c r="I24" s="3"/>
    </row>
    <row r="25" spans="1:9">
      <c r="H25" s="2"/>
      <c r="I25" s="3"/>
    </row>
    <row r="26" spans="1:9">
      <c r="H26" s="2"/>
      <c r="I26" s="3"/>
    </row>
    <row r="27" spans="1:9">
      <c r="H27" s="2"/>
      <c r="I27" s="3"/>
    </row>
    <row r="28" spans="1:9">
      <c r="H28" s="2"/>
      <c r="I28" s="3"/>
    </row>
    <row r="29" spans="1:9">
      <c r="H29" s="2"/>
      <c r="I29" s="3"/>
    </row>
    <row r="30" spans="1:9">
      <c r="H30" s="2"/>
      <c r="I30" s="3"/>
    </row>
    <row r="31" spans="1:9">
      <c r="H31" s="2"/>
      <c r="I31" s="3"/>
    </row>
    <row r="32" spans="1:9">
      <c r="H32" s="2"/>
      <c r="I32" s="3"/>
    </row>
    <row r="33" spans="1:9">
      <c r="H33" s="2"/>
      <c r="I33" s="3"/>
    </row>
    <row r="34" spans="1:9">
      <c r="H34" s="2"/>
      <c r="I34" s="3"/>
    </row>
    <row r="35" spans="1:9">
      <c r="H35" s="2"/>
      <c r="I35" s="3"/>
    </row>
    <row r="36" spans="1:9">
      <c r="H36" s="2"/>
      <c r="I36" s="3"/>
    </row>
    <row r="37" spans="1:9">
      <c r="H37" s="2"/>
      <c r="I37" s="3"/>
    </row>
    <row r="38" spans="1:9">
      <c r="H38" s="2"/>
      <c r="I38" s="3"/>
    </row>
    <row r="39" spans="1:9">
      <c r="H39" s="2"/>
      <c r="I39" s="3"/>
    </row>
    <row r="40" spans="1:9">
      <c r="H40" s="2"/>
      <c r="I40" s="3"/>
    </row>
    <row r="41" spans="1:9">
      <c r="H41" s="2"/>
      <c r="I41" s="3"/>
    </row>
    <row r="42" spans="1:9">
      <c r="H42" s="2"/>
      <c r="I42" s="3"/>
    </row>
    <row r="43" spans="1:9">
      <c r="H43" s="2"/>
      <c r="I43" s="3"/>
    </row>
    <row r="44" spans="1:9">
      <c r="H44" s="2"/>
      <c r="I44" s="3"/>
    </row>
    <row r="45" spans="1:9">
      <c r="H45" s="2"/>
      <c r="I45" s="3"/>
    </row>
    <row r="46" spans="1:9">
      <c r="A46" s="5"/>
      <c r="H46" s="2"/>
      <c r="I46" s="3"/>
    </row>
    <row r="47" spans="1:9">
      <c r="H47" s="2"/>
      <c r="I47" s="3"/>
    </row>
    <row r="48" spans="1:9">
      <c r="H48" s="2"/>
      <c r="I48" s="3"/>
    </row>
    <row r="49" spans="8:9">
      <c r="H49" s="2"/>
      <c r="I49" s="3"/>
    </row>
    <row r="50" spans="8:9">
      <c r="H50" s="2"/>
      <c r="I50" s="3"/>
    </row>
    <row r="51" spans="8:9">
      <c r="H51" s="2"/>
      <c r="I51" s="3"/>
    </row>
    <row r="52" spans="8:9">
      <c r="H52" s="2"/>
      <c r="I52" s="3"/>
    </row>
    <row r="53" spans="8:9">
      <c r="H53" s="2"/>
      <c r="I53" s="3"/>
    </row>
    <row r="54" spans="8:9">
      <c r="H54" s="2"/>
      <c r="I54" s="3"/>
    </row>
    <row r="55" spans="8:9">
      <c r="H55" s="2"/>
      <c r="I55" s="3"/>
    </row>
    <row r="56" spans="8:9">
      <c r="H56" s="2"/>
      <c r="I56" s="3"/>
    </row>
    <row r="57" spans="8:9">
      <c r="H57" s="2"/>
      <c r="I57" s="3"/>
    </row>
    <row r="58" spans="8:9">
      <c r="H58" s="2"/>
      <c r="I58" s="3"/>
    </row>
    <row r="59" spans="8:9">
      <c r="H59" s="2"/>
      <c r="I59" s="3"/>
    </row>
    <row r="60" spans="8:9">
      <c r="H60" s="2"/>
      <c r="I60" s="3"/>
    </row>
    <row r="61" spans="8:9">
      <c r="H61" s="2"/>
      <c r="I61" s="3"/>
    </row>
    <row r="62" spans="8:9">
      <c r="H62" s="2"/>
      <c r="I62" s="3"/>
    </row>
    <row r="63" spans="8:9">
      <c r="H63" s="2"/>
      <c r="I63" s="3"/>
    </row>
    <row r="64" spans="8:9">
      <c r="H64" s="2"/>
      <c r="I64" s="3"/>
    </row>
    <row r="65" spans="8:9">
      <c r="H65" s="2"/>
      <c r="I65" s="3"/>
    </row>
    <row r="66" spans="8:9">
      <c r="H66" s="2"/>
      <c r="I66" s="3"/>
    </row>
    <row r="67" spans="8:9">
      <c r="H67" s="2"/>
      <c r="I67" s="3"/>
    </row>
    <row r="68" spans="8:9">
      <c r="H68" s="2"/>
      <c r="I68" s="3"/>
    </row>
    <row r="69" spans="8:9">
      <c r="H69" s="2"/>
      <c r="I69" s="3"/>
    </row>
    <row r="70" spans="8:9">
      <c r="H70" s="2"/>
      <c r="I70" s="3"/>
    </row>
    <row r="71" spans="8:9">
      <c r="H71" s="2"/>
      <c r="I71" s="3"/>
    </row>
    <row r="72" spans="8:9">
      <c r="H72" s="2"/>
      <c r="I72" s="3"/>
    </row>
    <row r="73" spans="8:9">
      <c r="H73" s="2"/>
      <c r="I73" s="3"/>
    </row>
    <row r="74" spans="8:9">
      <c r="H74" s="2"/>
      <c r="I74" s="3"/>
    </row>
    <row r="75" spans="8:9">
      <c r="H75" s="2"/>
      <c r="I75" s="3"/>
    </row>
    <row r="76" spans="8:9">
      <c r="H76" s="2"/>
      <c r="I76" s="3"/>
    </row>
    <row r="77" spans="8:9">
      <c r="H77" s="2"/>
      <c r="I77" s="3"/>
    </row>
    <row r="84" spans="1:1">
      <c r="A84" s="5"/>
    </row>
  </sheetData>
  <pageMargins left="0.7" right="0.7" top="0.75" bottom="0.75" header="0.3" footer="0.3"/>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F4C1C-C066-4FE7-94A1-6A0194FB0695}">
  <dimension ref="A2:A75"/>
  <sheetViews>
    <sheetView workbookViewId="0">
      <selection activeCell="A80" sqref="A80"/>
    </sheetView>
  </sheetViews>
  <sheetFormatPr defaultRowHeight="14.4"/>
  <cols>
    <col min="1" max="1" width="250.44140625" bestFit="1" customWidth="1"/>
  </cols>
  <sheetData>
    <row r="2" spans="1:1" ht="31.2">
      <c r="A2" s="6" t="s">
        <v>90</v>
      </c>
    </row>
    <row r="4" spans="1:1" ht="23.4">
      <c r="A4" s="7" t="s">
        <v>91</v>
      </c>
    </row>
    <row r="6" spans="1:1" ht="18">
      <c r="A6" s="8" t="s">
        <v>92</v>
      </c>
    </row>
    <row r="8" spans="1:1">
      <c r="A8" t="s">
        <v>93</v>
      </c>
    </row>
    <row r="10" spans="1:1" ht="18">
      <c r="A10" s="8" t="s">
        <v>94</v>
      </c>
    </row>
    <row r="11" spans="1:1">
      <c r="A11" s="9"/>
    </row>
    <row r="12" spans="1:1">
      <c r="A12" s="10" t="s">
        <v>95</v>
      </c>
    </row>
    <row r="13" spans="1:1">
      <c r="A13" s="9"/>
    </row>
    <row r="14" spans="1:1">
      <c r="A14" s="10" t="s">
        <v>96</v>
      </c>
    </row>
    <row r="15" spans="1:1">
      <c r="A15" s="9"/>
    </row>
    <row r="16" spans="1:1">
      <c r="A16" s="10" t="s">
        <v>97</v>
      </c>
    </row>
    <row r="17" spans="1:1">
      <c r="A17" s="9"/>
    </row>
    <row r="18" spans="1:1">
      <c r="A18" s="10" t="s">
        <v>98</v>
      </c>
    </row>
    <row r="19" spans="1:1">
      <c r="A19" s="9"/>
    </row>
    <row r="20" spans="1:1">
      <c r="A20" s="10" t="s">
        <v>99</v>
      </c>
    </row>
    <row r="22" spans="1:1" ht="18">
      <c r="A22" s="8" t="s">
        <v>100</v>
      </c>
    </row>
    <row r="23" spans="1:1">
      <c r="A23" s="9"/>
    </row>
    <row r="24" spans="1:1">
      <c r="A24" s="9" t="s">
        <v>101</v>
      </c>
    </row>
    <row r="25" spans="1:1">
      <c r="A25" s="9"/>
    </row>
    <row r="26" spans="1:1">
      <c r="A26" s="9" t="s">
        <v>102</v>
      </c>
    </row>
    <row r="27" spans="1:1">
      <c r="A27" s="9"/>
    </row>
    <row r="28" spans="1:1">
      <c r="A28" s="9" t="s">
        <v>103</v>
      </c>
    </row>
    <row r="29" spans="1:1">
      <c r="A29" s="9"/>
    </row>
    <row r="30" spans="1:1">
      <c r="A30" s="9" t="s">
        <v>104</v>
      </c>
    </row>
    <row r="32" spans="1:1" ht="18">
      <c r="A32" s="8" t="s">
        <v>105</v>
      </c>
    </row>
    <row r="34" spans="1:1">
      <c r="A34" t="s">
        <v>106</v>
      </c>
    </row>
    <row r="38" spans="1:1" ht="23.4">
      <c r="A38" s="7" t="s">
        <v>107</v>
      </c>
    </row>
    <row r="40" spans="1:1" ht="18">
      <c r="A40" s="8" t="s">
        <v>92</v>
      </c>
    </row>
    <row r="42" spans="1:1">
      <c r="A42" t="s">
        <v>108</v>
      </c>
    </row>
    <row r="44" spans="1:1" ht="18">
      <c r="A44" s="8" t="s">
        <v>94</v>
      </c>
    </row>
    <row r="45" spans="1:1">
      <c r="A45" s="9"/>
    </row>
    <row r="46" spans="1:1">
      <c r="A46" s="9" t="s">
        <v>109</v>
      </c>
    </row>
    <row r="47" spans="1:1">
      <c r="A47" s="9"/>
    </row>
    <row r="48" spans="1:1">
      <c r="A48" s="11" t="s">
        <v>110</v>
      </c>
    </row>
    <row r="49" spans="1:1">
      <c r="A49" s="9"/>
    </row>
    <row r="50" spans="1:1">
      <c r="A50" s="9" t="s">
        <v>111</v>
      </c>
    </row>
    <row r="53" spans="1:1" ht="18">
      <c r="A53" s="8" t="s">
        <v>112</v>
      </c>
    </row>
    <row r="55" spans="1:1">
      <c r="A55" s="5" t="s">
        <v>113</v>
      </c>
    </row>
    <row r="56" spans="1:1">
      <c r="A56" s="9"/>
    </row>
    <row r="57" spans="1:1">
      <c r="A57" s="9" t="s">
        <v>114</v>
      </c>
    </row>
    <row r="58" spans="1:1">
      <c r="A58" s="9"/>
    </row>
    <row r="59" spans="1:1">
      <c r="A59" s="9" t="s">
        <v>115</v>
      </c>
    </row>
    <row r="60" spans="1:1">
      <c r="A60" s="9"/>
    </row>
    <row r="61" spans="1:1">
      <c r="A61" s="9" t="s">
        <v>116</v>
      </c>
    </row>
    <row r="62" spans="1:1">
      <c r="A62" s="9"/>
    </row>
    <row r="63" spans="1:1">
      <c r="A63" s="9" t="s">
        <v>117</v>
      </c>
    </row>
    <row r="64" spans="1:1">
      <c r="A64" s="9"/>
    </row>
    <row r="65" spans="1:1">
      <c r="A65" s="9" t="s">
        <v>118</v>
      </c>
    </row>
    <row r="66" spans="1:1">
      <c r="A66" s="9"/>
    </row>
    <row r="67" spans="1:1">
      <c r="A67" s="9" t="s">
        <v>119</v>
      </c>
    </row>
    <row r="69" spans="1:1">
      <c r="A69" s="5" t="s">
        <v>120</v>
      </c>
    </row>
    <row r="71" spans="1:1">
      <c r="A71" t="s">
        <v>121</v>
      </c>
    </row>
    <row r="73" spans="1:1">
      <c r="A73" s="5" t="s">
        <v>105</v>
      </c>
    </row>
    <row r="75" spans="1:1">
      <c r="A75" t="s">
        <v>122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Mission_4C_Product_Category_P</vt:lpstr>
      <vt:lpstr>Mission 4C.Pivot</vt:lpstr>
      <vt:lpstr>Phase 4C Findings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riya mittal</dc:creator>
  <cp:lastModifiedBy>riya mittal</cp:lastModifiedBy>
  <dcterms:created xsi:type="dcterms:W3CDTF">2026-10-22T16:22:56Z</dcterms:created>
  <dcterms:modified xsi:type="dcterms:W3CDTF">2026-10-22T18:16:30Z</dcterms:modified>
</cp:coreProperties>
</file>